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Equipo" sheetId="2" state="visible" r:id="rId2"/>
    <sheet name="Productos" sheetId="3" state="visible" r:id="rId3"/>
    <sheet name="Parejas" sheetId="4" state="visible" r:id="rId4"/>
    <sheet name="Leads" sheetId="5" state="visible" r:id="rId5"/>
    <sheet name="Ranking" sheetId="6" state="visible" r:id="rId6"/>
    <sheet name="Comisiones" sheetId="7" state="visible" r:id="rId7"/>
    <sheet name="Round-Rob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111827"/>
      <sz val="14"/>
    </font>
    <font>
      <b val="1"/>
      <sz val="12"/>
    </font>
    <font>
      <b val="1"/>
    </font>
    <font>
      <b val="1"/>
      <color rgb="00FFFFFF"/>
      <sz val="11"/>
    </font>
    <font>
      <i val="1"/>
      <color rgb="00111827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0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165" fontId="0" fillId="0" borderId="1" pivotButton="0" quotePrefix="0" xfId="0"/>
    <xf numFmtId="164" fontId="5" fillId="3" borderId="1" pivotButton="0" quotePrefix="0" xfId="0"/>
    <xf numFmtId="0" fontId="6" fillId="0" borderId="0" pivotButton="0" quotePrefix="0" xfId="0"/>
    <xf numFmtId="0" fontId="3" fillId="4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Sistema Comercial Marli — Plantilla Excel</t>
        </is>
      </c>
    </row>
    <row r="3" ht="60" customHeight="1">
      <c r="A3" s="2" t="inlineStr">
        <is>
          <t>Esta plantilla recoge todo el sistema de gestión comercial: equipo, productos, pipeline de leads, comisiones y ranking. Está pensada para trabajar en local sin depender de servicios externos.</t>
        </is>
      </c>
    </row>
    <row r="5">
      <c r="A5" s="3" t="inlineStr">
        <is>
          <t>Orden de hojas</t>
        </is>
      </c>
    </row>
    <row r="6">
      <c r="A6" s="4" t="inlineStr">
        <is>
          <t>Equipo</t>
        </is>
      </c>
      <c r="B6" s="2" t="inlineStr">
        <is>
          <t>Una fila por persona. El rol y la pareja determinan a quién va cada lead y qué comisión cobra.</t>
        </is>
      </c>
    </row>
    <row r="7">
      <c r="A7" s="4" t="inlineStr">
        <is>
          <t>Productos</t>
        </is>
      </c>
      <c r="B7" s="2" t="inlineStr">
        <is>
          <t>Catálogo con precio, coste y margen. Todas las comisiones se calculan sobre el MARGEN.</t>
        </is>
      </c>
    </row>
    <row r="8">
      <c r="A8" s="4" t="inlineStr">
        <is>
          <t>Parejas</t>
        </is>
      </c>
      <c r="B8" s="2" t="inlineStr">
        <is>
          <t>Mapeo Pareja→Setter→Closer→% comisiones. Solo se toca si cambias parejas o porcentajes.</t>
        </is>
      </c>
    </row>
    <row r="9">
      <c r="A9" s="4" t="inlineStr">
        <is>
          <t>Leads</t>
        </is>
      </c>
      <c r="B9" s="2" t="inlineStr">
        <is>
          <t>Pipeline. Aquí trabaja el equipo. Las columnas grises se calculan solas.</t>
        </is>
      </c>
    </row>
    <row r="10">
      <c r="A10" s="4" t="inlineStr">
        <is>
          <t>Ranking</t>
        </is>
      </c>
      <c r="B10" s="2" t="inlineStr">
        <is>
          <t>Métricas por setter y lote: tasa de contacto, agendado, presentación, cierre, € facturados, € comisión.</t>
        </is>
      </c>
    </row>
    <row r="11">
      <c r="A11" s="4" t="inlineStr">
        <is>
          <t>Comisiones</t>
        </is>
      </c>
      <c r="B11" s="2" t="inlineStr">
        <is>
          <t>Resumen mensual por persona. Se rellena solo a partir de Leads.</t>
        </is>
      </c>
    </row>
    <row r="12">
      <c r="A12" s="4" t="inlineStr">
        <is>
          <t>Round-Robin</t>
        </is>
      </c>
      <c r="B12" s="2" t="inlineStr">
        <is>
          <t>Generador del campo 'Pareja asignada' para los 10.000 leads fríos.</t>
        </is>
      </c>
    </row>
    <row r="14">
      <c r="A14" s="3" t="inlineStr">
        <is>
          <t>Reglas de oro</t>
        </is>
      </c>
    </row>
    <row r="15">
      <c r="A15" s="2" t="inlineStr">
        <is>
          <t>1. Una venta solo genera comisión si Estado='cerrado' y la Ficha estaba completa antes de la videollamada.</t>
        </is>
      </c>
    </row>
    <row r="16">
      <c r="A16" s="2" t="inlineStr">
        <is>
          <t>2. Comisiones siempre sobre MARGEN, nunca sobre precio.</t>
        </is>
      </c>
    </row>
    <row r="17">
      <c r="A17" s="2" t="inlineStr">
        <is>
          <t>3. Mantenimiento contratado = 50 € únicos extra al closer.</t>
        </is>
      </c>
    </row>
    <row r="18">
      <c r="A18" s="2" t="inlineStr">
        <is>
          <t>4. No tocar columnas grises (fórmulas). Solo se introduce dato en las blancas.</t>
        </is>
      </c>
    </row>
    <row r="19">
      <c r="A19" s="2" t="inlineStr">
        <is>
          <t>5. Los desplegables están protegidos: usa solo los valores válidos.</t>
        </is>
      </c>
    </row>
    <row r="22">
      <c r="A22" s="3" t="inlineStr">
        <is>
          <t>Productos y márgenes (referencia rápida)</t>
        </is>
      </c>
    </row>
    <row r="23">
      <c r="A23" s="5" t="inlineStr">
        <is>
          <t>Producto</t>
        </is>
      </c>
      <c r="B23" s="5" t="inlineStr">
        <is>
          <t>Precio</t>
        </is>
      </c>
      <c r="C23" s="5" t="inlineStr">
        <is>
          <t>Coste agencia</t>
        </is>
      </c>
      <c r="D23" s="5" t="inlineStr">
        <is>
          <t>Margen</t>
        </is>
      </c>
      <c r="E23" s="5" t="inlineStr">
        <is>
          <t>Setter (5%)</t>
        </is>
      </c>
      <c r="F23" s="5" t="inlineStr">
        <is>
          <t>Closer (15%)</t>
        </is>
      </c>
    </row>
    <row r="24">
      <c r="A24" s="6" t="inlineStr">
        <is>
          <t>Automatización Informes</t>
        </is>
      </c>
      <c r="B24" s="6" t="n">
        <v>449</v>
      </c>
      <c r="C24" s="6" t="n">
        <v>200</v>
      </c>
      <c r="D24" s="6" t="n">
        <v>249</v>
      </c>
      <c r="E24" s="6" t="n">
        <v>12.45</v>
      </c>
      <c r="F24" s="6" t="n">
        <v>37.35</v>
      </c>
    </row>
    <row r="25">
      <c r="A25" s="6" t="inlineStr">
        <is>
          <t>Chatbot IA</t>
        </is>
      </c>
      <c r="B25" s="6" t="n">
        <v>999</v>
      </c>
      <c r="C25" s="6" t="n">
        <v>500</v>
      </c>
      <c r="D25" s="6" t="n">
        <v>499</v>
      </c>
      <c r="E25" s="6" t="n">
        <v>24.95</v>
      </c>
      <c r="F25" s="6" t="n">
        <v>74.84999999999999</v>
      </c>
    </row>
    <row r="26">
      <c r="A26" s="6" t="inlineStr">
        <is>
          <t>Pack Premium</t>
        </is>
      </c>
      <c r="B26" s="6" t="n">
        <v>1349</v>
      </c>
      <c r="C26" s="6" t="n">
        <v>700</v>
      </c>
      <c r="D26" s="6" t="n">
        <v>649</v>
      </c>
      <c r="E26" s="6" t="n">
        <v>32.45</v>
      </c>
      <c r="F26" s="6" t="n">
        <v>97.34999999999999</v>
      </c>
    </row>
    <row r="27">
      <c r="A27" s="6" t="inlineStr">
        <is>
          <t>Mantenimiento (300€/mes)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+50€ únicos al closer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8" customWidth="1" min="4" max="4"/>
    <col width="16" customWidth="1" min="5" max="5"/>
    <col width="14" customWidth="1" min="6" max="6"/>
    <col width="10" customWidth="1" min="7" max="7"/>
  </cols>
  <sheetData>
    <row r="1">
      <c r="A1" s="7" t="inlineStr">
        <is>
          <t>ID</t>
        </is>
      </c>
      <c r="B1" s="7" t="inlineStr">
        <is>
          <t>Nombre</t>
        </is>
      </c>
      <c r="C1" s="7" t="inlineStr">
        <is>
          <t>Rol</t>
        </is>
      </c>
      <c r="D1" s="7" t="inlineStr">
        <is>
          <t>Email</t>
        </is>
      </c>
      <c r="E1" s="7" t="inlineStr">
        <is>
          <t>Pareja</t>
        </is>
      </c>
      <c r="F1" s="7" t="inlineStr">
        <is>
          <t>Comisión %</t>
        </is>
      </c>
      <c r="G1" s="7" t="inlineStr">
        <is>
          <t>Activo</t>
        </is>
      </c>
    </row>
    <row r="2">
      <c r="A2" s="6" t="inlineStr">
        <is>
          <t>E01</t>
        </is>
      </c>
      <c r="B2" s="6" t="inlineStr">
        <is>
          <t>Lucía</t>
        </is>
      </c>
      <c r="C2" s="6" t="inlineStr">
        <is>
          <t>setter</t>
        </is>
      </c>
      <c r="D2" s="6" t="inlineStr">
        <is>
          <t>lucia@marliagency.com</t>
        </is>
      </c>
      <c r="E2" s="6" t="inlineStr">
        <is>
          <t>Lucia-Diego</t>
        </is>
      </c>
      <c r="F2" s="8" t="n">
        <v>0.05</v>
      </c>
      <c r="G2" s="6" t="b">
        <v>1</v>
      </c>
    </row>
    <row r="3">
      <c r="A3" s="6" t="inlineStr">
        <is>
          <t>E02</t>
        </is>
      </c>
      <c r="B3" s="6" t="inlineStr">
        <is>
          <t>Marta</t>
        </is>
      </c>
      <c r="C3" s="6" t="inlineStr">
        <is>
          <t>setter</t>
        </is>
      </c>
      <c r="D3" s="6" t="inlineStr">
        <is>
          <t>marta@marliagency.com</t>
        </is>
      </c>
      <c r="E3" s="6" t="inlineStr">
        <is>
          <t>Marta-Sara</t>
        </is>
      </c>
      <c r="F3" s="8" t="n">
        <v>0.05</v>
      </c>
      <c r="G3" s="6" t="b">
        <v>1</v>
      </c>
    </row>
    <row r="4">
      <c r="A4" s="6" t="inlineStr">
        <is>
          <t>E03</t>
        </is>
      </c>
      <c r="B4" s="6" t="inlineStr">
        <is>
          <t>Diego</t>
        </is>
      </c>
      <c r="C4" s="6" t="inlineStr">
        <is>
          <t>closer</t>
        </is>
      </c>
      <c r="D4" s="6" t="inlineStr">
        <is>
          <t>diego@marliagency.com</t>
        </is>
      </c>
      <c r="E4" s="6" t="inlineStr">
        <is>
          <t>Lucia-Diego</t>
        </is>
      </c>
      <c r="F4" s="8" t="n">
        <v>0.15</v>
      </c>
      <c r="G4" s="6" t="b">
        <v>1</v>
      </c>
    </row>
    <row r="5">
      <c r="A5" s="6" t="inlineStr">
        <is>
          <t>E04</t>
        </is>
      </c>
      <c r="B5" s="6" t="inlineStr">
        <is>
          <t>Sara</t>
        </is>
      </c>
      <c r="C5" s="6" t="inlineStr">
        <is>
          <t>closer</t>
        </is>
      </c>
      <c r="D5" s="6" t="inlineStr">
        <is>
          <t>sara@marliagency.com</t>
        </is>
      </c>
      <c r="E5" s="6" t="inlineStr">
        <is>
          <t>Marta-Sara</t>
        </is>
      </c>
      <c r="F5" s="8" t="n">
        <v>0.15</v>
      </c>
      <c r="G5" s="6" t="b">
        <v>1</v>
      </c>
    </row>
    <row r="6">
      <c r="A6" s="6" t="inlineStr">
        <is>
          <t>E05</t>
        </is>
      </c>
      <c r="B6" s="6" t="inlineStr">
        <is>
          <t>José</t>
        </is>
      </c>
      <c r="C6" s="6" t="inlineStr">
        <is>
          <t>closer</t>
        </is>
      </c>
      <c r="D6" s="6" t="inlineStr">
        <is>
          <t>jose@marliagency.com</t>
        </is>
      </c>
      <c r="E6" s="6" t="inlineStr">
        <is>
          <t>Jose</t>
        </is>
      </c>
      <c r="F6" s="8" t="n">
        <v>0.2</v>
      </c>
      <c r="G6" s="6" t="b">
        <v>1</v>
      </c>
    </row>
  </sheetData>
  <dataValidations count="2">
    <dataValidation sqref="C2:C200" showDropDown="0" showInputMessage="0" showErrorMessage="0" allowBlank="0" type="list">
      <formula1>"setter,closer,setter+closer"</formula1>
    </dataValidation>
    <dataValidation sqref="E2:E200" showDropDown="0" showInputMessage="0" showErrorMessage="0" allowBlank="0" type="list">
      <formula1>"Lucia-Diego,Marta-Sara,Jose"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6" customWidth="1" min="4" max="4"/>
    <col width="12" customWidth="1" min="5" max="5"/>
    <col width="14" customWidth="1" min="6" max="6"/>
    <col width="40" customWidth="1" min="7" max="7"/>
  </cols>
  <sheetData>
    <row r="1">
      <c r="A1" s="7" t="inlineStr">
        <is>
          <t>ID</t>
        </is>
      </c>
      <c r="B1" s="7" t="inlineStr">
        <is>
          <t>Nombre</t>
        </is>
      </c>
      <c r="C1" s="7" t="inlineStr">
        <is>
          <t>Precio</t>
        </is>
      </c>
      <c r="D1" s="7" t="inlineStr">
        <is>
          <t>Coste agencia</t>
        </is>
      </c>
      <c r="E1" s="7" t="inlineStr">
        <is>
          <t>Margen</t>
        </is>
      </c>
      <c r="F1" s="7" t="inlineStr">
        <is>
          <t>Tipo</t>
        </is>
      </c>
      <c r="G1" s="7" t="inlineStr">
        <is>
          <t>Notas</t>
        </is>
      </c>
    </row>
    <row r="2">
      <c r="A2" s="6" t="inlineStr">
        <is>
          <t>P01</t>
        </is>
      </c>
      <c r="B2" s="6" t="inlineStr">
        <is>
          <t>Automatización Informes</t>
        </is>
      </c>
      <c r="C2" s="9" t="n">
        <v>449</v>
      </c>
      <c r="D2" s="9" t="n">
        <v>200</v>
      </c>
      <c r="E2" s="9">
        <f>C2-D2</f>
        <v/>
      </c>
      <c r="F2" s="6" t="inlineStr">
        <is>
          <t>one-time</t>
        </is>
      </c>
      <c r="G2" s="6" t="inlineStr">
        <is>
          <t>Informes automatizados para psicólogos</t>
        </is>
      </c>
    </row>
    <row r="3">
      <c r="A3" s="6" t="inlineStr">
        <is>
          <t>P02</t>
        </is>
      </c>
      <c r="B3" s="6" t="inlineStr">
        <is>
          <t>Chatbot IA</t>
        </is>
      </c>
      <c r="C3" s="9" t="n">
        <v>999</v>
      </c>
      <c r="D3" s="9" t="n">
        <v>500</v>
      </c>
      <c r="E3" s="9">
        <f>C3-D3</f>
        <v/>
      </c>
      <c r="F3" s="6" t="inlineStr">
        <is>
          <t>one-time</t>
        </is>
      </c>
      <c r="G3" s="6" t="inlineStr">
        <is>
          <t>Chatbot conversacional con IA</t>
        </is>
      </c>
    </row>
    <row r="4">
      <c r="A4" s="6" t="inlineStr">
        <is>
          <t>P03</t>
        </is>
      </c>
      <c r="B4" s="6" t="inlineStr">
        <is>
          <t>Pack Premium</t>
        </is>
      </c>
      <c r="C4" s="9" t="n">
        <v>1349</v>
      </c>
      <c r="D4" s="9" t="n">
        <v>700</v>
      </c>
      <c r="E4" s="9">
        <f>C4-D4</f>
        <v/>
      </c>
      <c r="F4" s="6" t="inlineStr">
        <is>
          <t>one-time</t>
        </is>
      </c>
      <c r="G4" s="6" t="inlineStr">
        <is>
          <t>Informes + Chatbot integrados</t>
        </is>
      </c>
    </row>
    <row r="5">
      <c r="A5" s="6" t="inlineStr">
        <is>
          <t>P04</t>
        </is>
      </c>
      <c r="B5" s="6" t="inlineStr">
        <is>
          <t>Mantenimiento</t>
        </is>
      </c>
      <c r="C5" s="9" t="n">
        <v>300</v>
      </c>
      <c r="D5" s="9" t="n">
        <v>0</v>
      </c>
      <c r="E5" s="9">
        <f>C5-D5</f>
        <v/>
      </c>
      <c r="F5" s="6" t="inlineStr">
        <is>
          <t>monthly</t>
        </is>
      </c>
      <c r="G5" s="6" t="inlineStr">
        <is>
          <t>Suscripción mensual. 50€ únicos al closer cuando se contrata.</t>
        </is>
      </c>
    </row>
  </sheetData>
  <dataValidations count="1">
    <dataValidation sqref="F2:F200" showDropDown="0" showInputMessage="0" showErrorMessage="0" allowBlank="0" type="list">
      <formula1>"one-time,monthly"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>
      <c r="A1" s="7" t="inlineStr">
        <is>
          <t>Pareja</t>
        </is>
      </c>
      <c r="B1" s="7" t="inlineStr">
        <is>
          <t>Setter</t>
        </is>
      </c>
      <c r="C1" s="7" t="inlineStr">
        <is>
          <t>Closer</t>
        </is>
      </c>
      <c r="D1" s="7" t="inlineStr">
        <is>
          <t>Setter %</t>
        </is>
      </c>
      <c r="E1" s="7" t="inlineStr">
        <is>
          <t>Closer %</t>
        </is>
      </c>
      <c r="F1" s="7" t="inlineStr">
        <is>
          <t>Notas</t>
        </is>
      </c>
    </row>
    <row r="2">
      <c r="A2" s="6" t="inlineStr">
        <is>
          <t>Lucia-Diego</t>
        </is>
      </c>
      <c r="B2" s="6" t="inlineStr">
        <is>
          <t>Lucía</t>
        </is>
      </c>
      <c r="C2" s="6" t="inlineStr">
        <is>
          <t>Diego</t>
        </is>
      </c>
      <c r="D2" s="8" t="n">
        <v>0.05</v>
      </c>
      <c r="E2" s="8" t="n">
        <v>0.15</v>
      </c>
      <c r="F2" s="6" t="inlineStr">
        <is>
          <t>Pareja estándar</t>
        </is>
      </c>
    </row>
    <row r="3">
      <c r="A3" s="6" t="inlineStr">
        <is>
          <t>Marta-Sara</t>
        </is>
      </c>
      <c r="B3" s="6" t="inlineStr">
        <is>
          <t>Marta</t>
        </is>
      </c>
      <c r="C3" s="6" t="inlineStr">
        <is>
          <t>Sara</t>
        </is>
      </c>
      <c r="D3" s="8" t="n">
        <v>0.05</v>
      </c>
      <c r="E3" s="8" t="n">
        <v>0.15</v>
      </c>
      <c r="F3" s="6" t="inlineStr">
        <is>
          <t>Pareja estándar</t>
        </is>
      </c>
    </row>
    <row r="4">
      <c r="A4" s="6" t="inlineStr">
        <is>
          <t>Jose</t>
        </is>
      </c>
      <c r="B4" s="6" t="inlineStr">
        <is>
          <t>José</t>
        </is>
      </c>
      <c r="C4" s="6" t="inlineStr">
        <is>
          <t>José</t>
        </is>
      </c>
      <c r="D4" s="8" t="n">
        <v>0.2</v>
      </c>
      <c r="E4" s="8" t="n">
        <v>0.2</v>
      </c>
      <c r="F4" s="6" t="inlineStr">
        <is>
          <t>José vende en solitario (closer 20%)</t>
        </is>
      </c>
    </row>
    <row r="5">
      <c r="A5" s="6" t="inlineStr">
        <is>
          <t>Jose-asistido</t>
        </is>
      </c>
      <c r="B5" s="6" t="inlineStr">
        <is>
          <t>Otro setter</t>
        </is>
      </c>
      <c r="C5" s="6" t="inlineStr">
        <is>
          <t>José</t>
        </is>
      </c>
      <c r="D5" s="8" t="n">
        <v>0.05</v>
      </c>
      <c r="E5" s="8" t="n">
        <v>0.1</v>
      </c>
      <c r="F5" s="6" t="inlineStr">
        <is>
          <t>Setter agenda, José cierra (10% closer)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4" customWidth="1" min="4" max="4"/>
    <col width="14" customWidth="1" min="5" max="5"/>
    <col width="8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  <col width="28" customWidth="1" min="12" max="12"/>
    <col width="12" customWidth="1" min="13" max="13"/>
    <col width="28" customWidth="1" min="14" max="14"/>
    <col width="16" customWidth="1" min="15" max="15"/>
    <col width="14" customWidth="1" min="16" max="16"/>
    <col width="2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6" customWidth="1" min="22" max="22"/>
    <col width="16" customWidth="1" min="23" max="23"/>
    <col width="18" customWidth="1" min="24" max="24"/>
    <col width="30" customWidth="1" min="25" max="25"/>
  </cols>
  <sheetData>
    <row r="1">
      <c r="A1" s="7" t="inlineStr">
        <is>
          <t>ID lead</t>
        </is>
      </c>
      <c r="B1" s="7" t="inlineStr">
        <is>
          <t>Nombre psicólogo</t>
        </is>
      </c>
      <c r="C1" s="7" t="inlineStr">
        <is>
          <t>Email</t>
        </is>
      </c>
      <c r="D1" s="7" t="inlineStr">
        <is>
          <t>Teléfono</t>
        </is>
      </c>
      <c r="E1" s="7" t="inlineStr">
        <is>
          <t>Ciudad</t>
        </is>
      </c>
      <c r="F1" s="7" t="inlineStr">
        <is>
          <t>Lote</t>
        </is>
      </c>
      <c r="G1" s="7" t="inlineStr">
        <is>
          <t>Pareja asignada</t>
        </is>
      </c>
      <c r="H1" s="7" t="inlineStr">
        <is>
          <t>Setter</t>
        </is>
      </c>
      <c r="I1" s="7" t="inlineStr">
        <is>
          <t>Closer derivado</t>
        </is>
      </c>
      <c r="J1" s="7" t="inlineStr">
        <is>
          <t>Estado</t>
        </is>
      </c>
      <c r="K1" s="7" t="inlineStr">
        <is>
          <t>Fecha último cambio</t>
        </is>
      </c>
      <c r="L1" s="7" t="inlineStr">
        <is>
          <t>Dolor detectado</t>
        </is>
      </c>
      <c r="M1" s="7" t="inlineStr">
        <is>
          <t>Nº pacientes</t>
        </is>
      </c>
      <c r="N1" s="7" t="inlineStr">
        <is>
          <t>Objeción anticipada</t>
        </is>
      </c>
      <c r="O1" s="7" t="inlineStr">
        <is>
          <t>Fecha videollamada</t>
        </is>
      </c>
      <c r="P1" s="7" t="inlineStr">
        <is>
          <t>Ficha completa</t>
        </is>
      </c>
      <c r="Q1" s="7" t="inlineStr">
        <is>
          <t>Producto</t>
        </is>
      </c>
      <c r="R1" s="7" t="inlineStr">
        <is>
          <t>Precio</t>
        </is>
      </c>
      <c r="S1" s="7" t="inlineStr">
        <is>
          <t>Margen</t>
        </is>
      </c>
      <c r="T1" s="7" t="inlineStr">
        <is>
          <t>Euros cobrado</t>
        </is>
      </c>
      <c r="U1" s="7" t="inlineStr">
        <is>
          <t>Mantenimiento</t>
        </is>
      </c>
      <c r="V1" s="7" t="inlineStr">
        <is>
          <t>Comisión setter</t>
        </is>
      </c>
      <c r="W1" s="7" t="inlineStr">
        <is>
          <t>Comisión closer</t>
        </is>
      </c>
      <c r="X1" s="7" t="inlineStr">
        <is>
          <t>Bonus mantenimiento</t>
        </is>
      </c>
      <c r="Y1" s="7" t="inlineStr">
        <is>
          <t>Notas</t>
        </is>
      </c>
    </row>
    <row r="2">
      <c r="A2" s="6" t="inlineStr">
        <is>
          <t>L0001</t>
        </is>
      </c>
      <c r="B2" s="6" t="inlineStr">
        <is>
          <t>Clínica Ana Rodríguez</t>
        </is>
      </c>
      <c r="C2" s="6" t="inlineStr">
        <is>
          <t>ana@clinica.com</t>
        </is>
      </c>
      <c r="D2" s="6" t="inlineStr">
        <is>
          <t>611111111</t>
        </is>
      </c>
      <c r="E2" s="6" t="inlineStr">
        <is>
          <t>Madrid</t>
        </is>
      </c>
      <c r="F2" s="6" t="n">
        <v>1</v>
      </c>
      <c r="G2" s="6" t="inlineStr">
        <is>
          <t>Lucia-Diego</t>
        </is>
      </c>
      <c r="H2" s="10">
        <f>IFERROR(VLOOKUP(G2,Parejas!A:F,2,FALSE),"")</f>
        <v/>
      </c>
      <c r="I2" s="10">
        <f>IFERROR(VLOOKUP(G2,Parejas!A:F,3,FALSE),"")</f>
        <v/>
      </c>
      <c r="J2" s="6" t="inlineStr">
        <is>
          <t>presentado</t>
        </is>
      </c>
      <c r="K2" s="11" t="inlineStr">
        <is>
          <t>2026-05-20</t>
        </is>
      </c>
      <c r="L2" s="6" t="inlineStr">
        <is>
          <t>No capta pacientes online</t>
        </is>
      </c>
      <c r="M2" s="6" t="n">
        <v>35</v>
      </c>
      <c r="N2" s="6" t="inlineStr">
        <is>
          <t>Precio alto</t>
        </is>
      </c>
      <c r="O2" s="11" t="inlineStr">
        <is>
          <t>2026-05-22</t>
        </is>
      </c>
      <c r="P2" s="10">
        <f>IF(AND(L2&lt;&gt;"",M2&lt;&gt;"",N2&lt;&gt;"",O2&lt;&gt;""),"✅","❌")</f>
        <v/>
      </c>
      <c r="Q2" s="6" t="inlineStr">
        <is>
          <t>Pack Premium</t>
        </is>
      </c>
      <c r="R2" s="12">
        <f>IFERROR(VLOOKUP(Q2,Productos!B:F,2,FALSE),"")</f>
        <v/>
      </c>
      <c r="S2" s="12">
        <f>IFERROR(VLOOKUP(Q2,Productos!B:F,4,FALSE),"")</f>
        <v/>
      </c>
      <c r="T2" s="9" t="n">
        <v>0</v>
      </c>
      <c r="U2" s="6" t="b">
        <v>0</v>
      </c>
      <c r="V2" s="12">
        <f>IFERROR(IF(J2="cerrado",S2*VLOOKUP(G2,Parejas!A:E,4,FALSE),0),0)</f>
        <v/>
      </c>
      <c r="W2" s="12">
        <f>IFERROR(IF(J2="cerrado",S2*VLOOKUP(G2,Parejas!A:E,5,FALSE),0),0)</f>
        <v/>
      </c>
      <c r="X2" s="12">
        <f>IF(AND(J2="cerrado",U2=TRUE),50,0)</f>
        <v/>
      </c>
      <c r="Y2" s="6" t="n"/>
    </row>
    <row r="3">
      <c r="A3" s="6" t="inlineStr">
        <is>
          <t>L0002</t>
        </is>
      </c>
      <c r="B3" s="6" t="inlineStr">
        <is>
          <t>Centro Psicología Luna</t>
        </is>
      </c>
      <c r="C3" s="6" t="inlineStr">
        <is>
          <t>info@luna.es</t>
        </is>
      </c>
      <c r="D3" s="6" t="inlineStr">
        <is>
          <t>622222222</t>
        </is>
      </c>
      <c r="E3" s="6" t="inlineStr">
        <is>
          <t>Barcelona</t>
        </is>
      </c>
      <c r="F3" s="6" t="n">
        <v>1</v>
      </c>
      <c r="G3" s="6" t="inlineStr">
        <is>
          <t>Marta-Sara</t>
        </is>
      </c>
      <c r="H3" s="10">
        <f>IFERROR(VLOOKUP(G3,Parejas!A:F,2,FALSE),"")</f>
        <v/>
      </c>
      <c r="I3" s="10">
        <f>IFERROR(VLOOKUP(G3,Parejas!A:F,3,FALSE),"")</f>
        <v/>
      </c>
      <c r="J3" s="6" t="inlineStr">
        <is>
          <t>cerrado</t>
        </is>
      </c>
      <c r="K3" s="11" t="inlineStr">
        <is>
          <t>2026-05-25</t>
        </is>
      </c>
      <c r="L3" s="6" t="inlineStr">
        <is>
          <t>Quiere captar más jóvenes</t>
        </is>
      </c>
      <c r="M3" s="6" t="n">
        <v>60</v>
      </c>
      <c r="N3" s="6" t="inlineStr">
        <is>
          <t>Tiempo de implantación</t>
        </is>
      </c>
      <c r="O3" s="11" t="inlineStr">
        <is>
          <t>2026-05-24</t>
        </is>
      </c>
      <c r="P3" s="10">
        <f>IF(AND(L3&lt;&gt;"",M3&lt;&gt;"",N3&lt;&gt;"",O3&lt;&gt;""),"✅","❌")</f>
        <v/>
      </c>
      <c r="Q3" s="6" t="inlineStr">
        <is>
          <t>Chatbot IA</t>
        </is>
      </c>
      <c r="R3" s="12">
        <f>IFERROR(VLOOKUP(Q3,Productos!B:F,2,FALSE),"")</f>
        <v/>
      </c>
      <c r="S3" s="12">
        <f>IFERROR(VLOOKUP(Q3,Productos!B:F,4,FALSE),"")</f>
        <v/>
      </c>
      <c r="T3" s="9" t="n">
        <v>999</v>
      </c>
      <c r="U3" s="6" t="b">
        <v>1</v>
      </c>
      <c r="V3" s="12">
        <f>IFERROR(IF(J3="cerrado",S3*VLOOKUP(G3,Parejas!A:E,4,FALSE),0),0)</f>
        <v/>
      </c>
      <c r="W3" s="12">
        <f>IFERROR(IF(J3="cerrado",S3*VLOOKUP(G3,Parejas!A:E,5,FALSE),0),0)</f>
        <v/>
      </c>
      <c r="X3" s="12">
        <f>IF(AND(J3="cerrado",U3=TRUE),50,0)</f>
        <v/>
      </c>
      <c r="Y3" s="6" t="inlineStr">
        <is>
          <t>Cerrado + mantenimiento</t>
        </is>
      </c>
    </row>
    <row r="4">
      <c r="A4" s="6" t="inlineStr">
        <is>
          <t>L0003</t>
        </is>
      </c>
      <c r="B4" s="6" t="inlineStr">
        <is>
          <t>Psicólogo Juan Pérez</t>
        </is>
      </c>
      <c r="C4" s="6" t="inlineStr">
        <is>
          <t>juan@gabinete.com</t>
        </is>
      </c>
      <c r="D4" s="6" t="inlineStr">
        <is>
          <t>633333333</t>
        </is>
      </c>
      <c r="E4" s="6" t="inlineStr">
        <is>
          <t>Valencia</t>
        </is>
      </c>
      <c r="F4" s="6" t="n">
        <v>1</v>
      </c>
      <c r="G4" s="6" t="inlineStr">
        <is>
          <t>Jose</t>
        </is>
      </c>
      <c r="H4" s="10">
        <f>IFERROR(VLOOKUP(G4,Parejas!A:F,2,FALSE),"")</f>
        <v/>
      </c>
      <c r="I4" s="10">
        <f>IFERROR(VLOOKUP(G4,Parejas!A:F,3,FALSE),"")</f>
        <v/>
      </c>
      <c r="J4" s="6" t="inlineStr">
        <is>
          <t>contactado</t>
        </is>
      </c>
      <c r="K4" s="11" t="inlineStr">
        <is>
          <t>2026-05-26</t>
        </is>
      </c>
      <c r="L4" s="6" t="inlineStr">
        <is>
          <t>Solo, sin equipo</t>
        </is>
      </c>
      <c r="M4" s="6" t="n">
        <v>12</v>
      </c>
      <c r="N4" s="6" t="inlineStr">
        <is>
          <t>Duda si IA cuadra con su perfil</t>
        </is>
      </c>
      <c r="O4" s="11" t="n"/>
      <c r="P4" s="10">
        <f>IF(AND(L4&lt;&gt;"",M4&lt;&gt;"",N4&lt;&gt;"",O4&lt;&gt;""),"✅","❌")</f>
        <v/>
      </c>
      <c r="Q4" s="6" t="n"/>
      <c r="R4" s="12">
        <f>IFERROR(VLOOKUP(Q4,Productos!B:F,2,FALSE),"")</f>
        <v/>
      </c>
      <c r="S4" s="12">
        <f>IFERROR(VLOOKUP(Q4,Productos!B:F,4,FALSE),"")</f>
        <v/>
      </c>
      <c r="T4" s="9" t="n">
        <v>0</v>
      </c>
      <c r="U4" s="6" t="b">
        <v>0</v>
      </c>
      <c r="V4" s="12">
        <f>IFERROR(IF(J4="cerrado",S4*VLOOKUP(G4,Parejas!A:E,4,FALSE),0),0)</f>
        <v/>
      </c>
      <c r="W4" s="12">
        <f>IFERROR(IF(J4="cerrado",S4*VLOOKUP(G4,Parejas!A:E,5,FALSE),0),0)</f>
        <v/>
      </c>
      <c r="X4" s="12">
        <f>IF(AND(J4="cerrado",U4=TRUE),50,0)</f>
        <v/>
      </c>
      <c r="Y4" s="6" t="n"/>
    </row>
    <row r="5">
      <c r="A5" s="6" t="n"/>
      <c r="B5" s="6" t="n"/>
      <c r="C5" s="6" t="n"/>
      <c r="D5" s="6" t="n"/>
      <c r="E5" s="6" t="n"/>
      <c r="F5" s="6" t="n"/>
      <c r="G5" s="6" t="n"/>
      <c r="H5" s="10">
        <f>IFERROR(VLOOKUP(G5,Parejas!A:F,2,FALSE),"")</f>
        <v/>
      </c>
      <c r="I5" s="10">
        <f>IFERROR(VLOOKUP(G5,Parejas!A:F,3,FALSE),"")</f>
        <v/>
      </c>
      <c r="J5" s="6" t="n"/>
      <c r="K5" s="11" t="n"/>
      <c r="L5" s="6" t="n"/>
      <c r="M5" s="6" t="n"/>
      <c r="N5" s="6" t="n"/>
      <c r="O5" s="11" t="n"/>
      <c r="P5" s="10">
        <f>IF(AND(L5&lt;&gt;"",M5&lt;&gt;"",N5&lt;&gt;"",O5&lt;&gt;""),"✅","❌")</f>
        <v/>
      </c>
      <c r="Q5" s="6" t="n"/>
      <c r="R5" s="12">
        <f>IFERROR(VLOOKUP(Q5,Productos!B:F,2,FALSE),"")</f>
        <v/>
      </c>
      <c r="S5" s="12">
        <f>IFERROR(VLOOKUP(Q5,Productos!B:F,4,FALSE),"")</f>
        <v/>
      </c>
      <c r="T5" s="9" t="n"/>
      <c r="U5" s="6" t="n"/>
      <c r="V5" s="12">
        <f>IFERROR(IF(J5="cerrado",S5*VLOOKUP(G5,Parejas!A:E,4,FALSE),0),0)</f>
        <v/>
      </c>
      <c r="W5" s="12">
        <f>IFERROR(IF(J5="cerrado",S5*VLOOKUP(G5,Parejas!A:E,5,FALSE),0),0)</f>
        <v/>
      </c>
      <c r="X5" s="12">
        <f>IF(AND(J5="cerrado",U5=TRUE),50,0)</f>
        <v/>
      </c>
      <c r="Y5" s="6" t="n"/>
    </row>
    <row r="6">
      <c r="A6" s="6" t="n"/>
      <c r="B6" s="6" t="n"/>
      <c r="C6" s="6" t="n"/>
      <c r="D6" s="6" t="n"/>
      <c r="E6" s="6" t="n"/>
      <c r="F6" s="6" t="n"/>
      <c r="G6" s="6" t="n"/>
      <c r="H6" s="10">
        <f>IFERROR(VLOOKUP(G6,Parejas!A:F,2,FALSE),"")</f>
        <v/>
      </c>
      <c r="I6" s="10">
        <f>IFERROR(VLOOKUP(G6,Parejas!A:F,3,FALSE),"")</f>
        <v/>
      </c>
      <c r="J6" s="6" t="n"/>
      <c r="K6" s="11" t="n"/>
      <c r="L6" s="6" t="n"/>
      <c r="M6" s="6" t="n"/>
      <c r="N6" s="6" t="n"/>
      <c r="O6" s="11" t="n"/>
      <c r="P6" s="10">
        <f>IF(AND(L6&lt;&gt;"",M6&lt;&gt;"",N6&lt;&gt;"",O6&lt;&gt;""),"✅","❌")</f>
        <v/>
      </c>
      <c r="Q6" s="6" t="n"/>
      <c r="R6" s="12">
        <f>IFERROR(VLOOKUP(Q6,Productos!B:F,2,FALSE),"")</f>
        <v/>
      </c>
      <c r="S6" s="12">
        <f>IFERROR(VLOOKUP(Q6,Productos!B:F,4,FALSE),"")</f>
        <v/>
      </c>
      <c r="T6" s="9" t="n"/>
      <c r="U6" s="6" t="n"/>
      <c r="V6" s="12">
        <f>IFERROR(IF(J6="cerrado",S6*VLOOKUP(G6,Parejas!A:E,4,FALSE),0),0)</f>
        <v/>
      </c>
      <c r="W6" s="12">
        <f>IFERROR(IF(J6="cerrado",S6*VLOOKUP(G6,Parejas!A:E,5,FALSE),0),0)</f>
        <v/>
      </c>
      <c r="X6" s="12">
        <f>IF(AND(J6="cerrado",U6=TRUE),50,0)</f>
        <v/>
      </c>
      <c r="Y6" s="6" t="n"/>
    </row>
    <row r="7">
      <c r="A7" s="6" t="n"/>
      <c r="B7" s="6" t="n"/>
      <c r="C7" s="6" t="n"/>
      <c r="D7" s="6" t="n"/>
      <c r="E7" s="6" t="n"/>
      <c r="F7" s="6" t="n"/>
      <c r="G7" s="6" t="n"/>
      <c r="H7" s="10">
        <f>IFERROR(VLOOKUP(G7,Parejas!A:F,2,FALSE),"")</f>
        <v/>
      </c>
      <c r="I7" s="10">
        <f>IFERROR(VLOOKUP(G7,Parejas!A:F,3,FALSE),"")</f>
        <v/>
      </c>
      <c r="J7" s="6" t="n"/>
      <c r="K7" s="11" t="n"/>
      <c r="L7" s="6" t="n"/>
      <c r="M7" s="6" t="n"/>
      <c r="N7" s="6" t="n"/>
      <c r="O7" s="11" t="n"/>
      <c r="P7" s="10">
        <f>IF(AND(L7&lt;&gt;"",M7&lt;&gt;"",N7&lt;&gt;"",O7&lt;&gt;""),"✅","❌")</f>
        <v/>
      </c>
      <c r="Q7" s="6" t="n"/>
      <c r="R7" s="12">
        <f>IFERROR(VLOOKUP(Q7,Productos!B:F,2,FALSE),"")</f>
        <v/>
      </c>
      <c r="S7" s="12">
        <f>IFERROR(VLOOKUP(Q7,Productos!B:F,4,FALSE),"")</f>
        <v/>
      </c>
      <c r="T7" s="9" t="n"/>
      <c r="U7" s="6" t="n"/>
      <c r="V7" s="12">
        <f>IFERROR(IF(J7="cerrado",S7*VLOOKUP(G7,Parejas!A:E,4,FALSE),0),0)</f>
        <v/>
      </c>
      <c r="W7" s="12">
        <f>IFERROR(IF(J7="cerrado",S7*VLOOKUP(G7,Parejas!A:E,5,FALSE),0),0)</f>
        <v/>
      </c>
      <c r="X7" s="12">
        <f>IF(AND(J7="cerrado",U7=TRUE),50,0)</f>
        <v/>
      </c>
      <c r="Y7" s="6" t="n"/>
    </row>
    <row r="8">
      <c r="A8" s="6" t="n"/>
      <c r="B8" s="6" t="n"/>
      <c r="C8" s="6" t="n"/>
      <c r="D8" s="6" t="n"/>
      <c r="E8" s="6" t="n"/>
      <c r="F8" s="6" t="n"/>
      <c r="G8" s="6" t="n"/>
      <c r="H8" s="10">
        <f>IFERROR(VLOOKUP(G8,Parejas!A:F,2,FALSE),"")</f>
        <v/>
      </c>
      <c r="I8" s="10">
        <f>IFERROR(VLOOKUP(G8,Parejas!A:F,3,FALSE),"")</f>
        <v/>
      </c>
      <c r="J8" s="6" t="n"/>
      <c r="K8" s="11" t="n"/>
      <c r="L8" s="6" t="n"/>
      <c r="M8" s="6" t="n"/>
      <c r="N8" s="6" t="n"/>
      <c r="O8" s="11" t="n"/>
      <c r="P8" s="10">
        <f>IF(AND(L8&lt;&gt;"",M8&lt;&gt;"",N8&lt;&gt;"",O8&lt;&gt;""),"✅","❌")</f>
        <v/>
      </c>
      <c r="Q8" s="6" t="n"/>
      <c r="R8" s="12">
        <f>IFERROR(VLOOKUP(Q8,Productos!B:F,2,FALSE),"")</f>
        <v/>
      </c>
      <c r="S8" s="12">
        <f>IFERROR(VLOOKUP(Q8,Productos!B:F,4,FALSE),"")</f>
        <v/>
      </c>
      <c r="T8" s="9" t="n"/>
      <c r="U8" s="6" t="n"/>
      <c r="V8" s="12">
        <f>IFERROR(IF(J8="cerrado",S8*VLOOKUP(G8,Parejas!A:E,4,FALSE),0),0)</f>
        <v/>
      </c>
      <c r="W8" s="12">
        <f>IFERROR(IF(J8="cerrado",S8*VLOOKUP(G8,Parejas!A:E,5,FALSE),0),0)</f>
        <v/>
      </c>
      <c r="X8" s="12">
        <f>IF(AND(J8="cerrado",U8=TRUE),50,0)</f>
        <v/>
      </c>
      <c r="Y8" s="6" t="n"/>
    </row>
    <row r="9">
      <c r="A9" s="6" t="n"/>
      <c r="B9" s="6" t="n"/>
      <c r="C9" s="6" t="n"/>
      <c r="D9" s="6" t="n"/>
      <c r="E9" s="6" t="n"/>
      <c r="F9" s="6" t="n"/>
      <c r="G9" s="6" t="n"/>
      <c r="H9" s="10">
        <f>IFERROR(VLOOKUP(G9,Parejas!A:F,2,FALSE),"")</f>
        <v/>
      </c>
      <c r="I9" s="10">
        <f>IFERROR(VLOOKUP(G9,Parejas!A:F,3,FALSE),"")</f>
        <v/>
      </c>
      <c r="J9" s="6" t="n"/>
      <c r="K9" s="11" t="n"/>
      <c r="L9" s="6" t="n"/>
      <c r="M9" s="6" t="n"/>
      <c r="N9" s="6" t="n"/>
      <c r="O9" s="11" t="n"/>
      <c r="P9" s="10">
        <f>IF(AND(L9&lt;&gt;"",M9&lt;&gt;"",N9&lt;&gt;"",O9&lt;&gt;""),"✅","❌")</f>
        <v/>
      </c>
      <c r="Q9" s="6" t="n"/>
      <c r="R9" s="12">
        <f>IFERROR(VLOOKUP(Q9,Productos!B:F,2,FALSE),"")</f>
        <v/>
      </c>
      <c r="S9" s="12">
        <f>IFERROR(VLOOKUP(Q9,Productos!B:F,4,FALSE),"")</f>
        <v/>
      </c>
      <c r="T9" s="9" t="n"/>
      <c r="U9" s="6" t="n"/>
      <c r="V9" s="12">
        <f>IFERROR(IF(J9="cerrado",S9*VLOOKUP(G9,Parejas!A:E,4,FALSE),0),0)</f>
        <v/>
      </c>
      <c r="W9" s="12">
        <f>IFERROR(IF(J9="cerrado",S9*VLOOKUP(G9,Parejas!A:E,5,FALSE),0),0)</f>
        <v/>
      </c>
      <c r="X9" s="12">
        <f>IF(AND(J9="cerrado",U9=TRUE),50,0)</f>
        <v/>
      </c>
      <c r="Y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10">
        <f>IFERROR(VLOOKUP(G10,Parejas!A:F,2,FALSE),"")</f>
        <v/>
      </c>
      <c r="I10" s="10">
        <f>IFERROR(VLOOKUP(G10,Parejas!A:F,3,FALSE),"")</f>
        <v/>
      </c>
      <c r="J10" s="6" t="n"/>
      <c r="K10" s="11" t="n"/>
      <c r="L10" s="6" t="n"/>
      <c r="M10" s="6" t="n"/>
      <c r="N10" s="6" t="n"/>
      <c r="O10" s="11" t="n"/>
      <c r="P10" s="10">
        <f>IF(AND(L10&lt;&gt;"",M10&lt;&gt;"",N10&lt;&gt;"",O10&lt;&gt;""),"✅","❌")</f>
        <v/>
      </c>
      <c r="Q10" s="6" t="n"/>
      <c r="R10" s="12">
        <f>IFERROR(VLOOKUP(Q10,Productos!B:F,2,FALSE),"")</f>
        <v/>
      </c>
      <c r="S10" s="12">
        <f>IFERROR(VLOOKUP(Q10,Productos!B:F,4,FALSE),"")</f>
        <v/>
      </c>
      <c r="T10" s="9" t="n"/>
      <c r="U10" s="6" t="n"/>
      <c r="V10" s="12">
        <f>IFERROR(IF(J10="cerrado",S10*VLOOKUP(G10,Parejas!A:E,4,FALSE),0),0)</f>
        <v/>
      </c>
      <c r="W10" s="12">
        <f>IFERROR(IF(J10="cerrado",S10*VLOOKUP(G10,Parejas!A:E,5,FALSE),0),0)</f>
        <v/>
      </c>
      <c r="X10" s="12">
        <f>IF(AND(J10="cerrado",U10=TRUE),50,0)</f>
        <v/>
      </c>
      <c r="Y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10">
        <f>IFERROR(VLOOKUP(G11,Parejas!A:F,2,FALSE),"")</f>
        <v/>
      </c>
      <c r="I11" s="10">
        <f>IFERROR(VLOOKUP(G11,Parejas!A:F,3,FALSE),"")</f>
        <v/>
      </c>
      <c r="J11" s="6" t="n"/>
      <c r="K11" s="11" t="n"/>
      <c r="L11" s="6" t="n"/>
      <c r="M11" s="6" t="n"/>
      <c r="N11" s="6" t="n"/>
      <c r="O11" s="11" t="n"/>
      <c r="P11" s="10">
        <f>IF(AND(L11&lt;&gt;"",M11&lt;&gt;"",N11&lt;&gt;"",O11&lt;&gt;""),"✅","❌")</f>
        <v/>
      </c>
      <c r="Q11" s="6" t="n"/>
      <c r="R11" s="12">
        <f>IFERROR(VLOOKUP(Q11,Productos!B:F,2,FALSE),"")</f>
        <v/>
      </c>
      <c r="S11" s="12">
        <f>IFERROR(VLOOKUP(Q11,Productos!B:F,4,FALSE),"")</f>
        <v/>
      </c>
      <c r="T11" s="9" t="n"/>
      <c r="U11" s="6" t="n"/>
      <c r="V11" s="12">
        <f>IFERROR(IF(J11="cerrado",S11*VLOOKUP(G11,Parejas!A:E,4,FALSE),0),0)</f>
        <v/>
      </c>
      <c r="W11" s="12">
        <f>IFERROR(IF(J11="cerrado",S11*VLOOKUP(G11,Parejas!A:E,5,FALSE),0),0)</f>
        <v/>
      </c>
      <c r="X11" s="12">
        <f>IF(AND(J11="cerrado",U11=TRUE),50,0)</f>
        <v/>
      </c>
      <c r="Y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10">
        <f>IFERROR(VLOOKUP(G12,Parejas!A:F,2,FALSE),"")</f>
        <v/>
      </c>
      <c r="I12" s="10">
        <f>IFERROR(VLOOKUP(G12,Parejas!A:F,3,FALSE),"")</f>
        <v/>
      </c>
      <c r="J12" s="6" t="n"/>
      <c r="K12" s="11" t="n"/>
      <c r="L12" s="6" t="n"/>
      <c r="M12" s="6" t="n"/>
      <c r="N12" s="6" t="n"/>
      <c r="O12" s="11" t="n"/>
      <c r="P12" s="10">
        <f>IF(AND(L12&lt;&gt;"",M12&lt;&gt;"",N12&lt;&gt;"",O12&lt;&gt;""),"✅","❌")</f>
        <v/>
      </c>
      <c r="Q12" s="6" t="n"/>
      <c r="R12" s="12">
        <f>IFERROR(VLOOKUP(Q12,Productos!B:F,2,FALSE),"")</f>
        <v/>
      </c>
      <c r="S12" s="12">
        <f>IFERROR(VLOOKUP(Q12,Productos!B:F,4,FALSE),"")</f>
        <v/>
      </c>
      <c r="T12" s="9" t="n"/>
      <c r="U12" s="6" t="n"/>
      <c r="V12" s="12">
        <f>IFERROR(IF(J12="cerrado",S12*VLOOKUP(G12,Parejas!A:E,4,FALSE),0),0)</f>
        <v/>
      </c>
      <c r="W12" s="12">
        <f>IFERROR(IF(J12="cerrado",S12*VLOOKUP(G12,Parejas!A:E,5,FALSE),0),0)</f>
        <v/>
      </c>
      <c r="X12" s="12">
        <f>IF(AND(J12="cerrado",U12=TRUE),50,0)</f>
        <v/>
      </c>
      <c r="Y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10">
        <f>IFERROR(VLOOKUP(G13,Parejas!A:F,2,FALSE),"")</f>
        <v/>
      </c>
      <c r="I13" s="10">
        <f>IFERROR(VLOOKUP(G13,Parejas!A:F,3,FALSE),"")</f>
        <v/>
      </c>
      <c r="J13" s="6" t="n"/>
      <c r="K13" s="11" t="n"/>
      <c r="L13" s="6" t="n"/>
      <c r="M13" s="6" t="n"/>
      <c r="N13" s="6" t="n"/>
      <c r="O13" s="11" t="n"/>
      <c r="P13" s="10">
        <f>IF(AND(L13&lt;&gt;"",M13&lt;&gt;"",N13&lt;&gt;"",O13&lt;&gt;""),"✅","❌")</f>
        <v/>
      </c>
      <c r="Q13" s="6" t="n"/>
      <c r="R13" s="12">
        <f>IFERROR(VLOOKUP(Q13,Productos!B:F,2,FALSE),"")</f>
        <v/>
      </c>
      <c r="S13" s="12">
        <f>IFERROR(VLOOKUP(Q13,Productos!B:F,4,FALSE),"")</f>
        <v/>
      </c>
      <c r="T13" s="9" t="n"/>
      <c r="U13" s="6" t="n"/>
      <c r="V13" s="12">
        <f>IFERROR(IF(J13="cerrado",S13*VLOOKUP(G13,Parejas!A:E,4,FALSE),0),0)</f>
        <v/>
      </c>
      <c r="W13" s="12">
        <f>IFERROR(IF(J13="cerrado",S13*VLOOKUP(G13,Parejas!A:E,5,FALSE),0),0)</f>
        <v/>
      </c>
      <c r="X13" s="12">
        <f>IF(AND(J13="cerrado",U13=TRUE),50,0)</f>
        <v/>
      </c>
      <c r="Y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10">
        <f>IFERROR(VLOOKUP(G14,Parejas!A:F,2,FALSE),"")</f>
        <v/>
      </c>
      <c r="I14" s="10">
        <f>IFERROR(VLOOKUP(G14,Parejas!A:F,3,FALSE),"")</f>
        <v/>
      </c>
      <c r="J14" s="6" t="n"/>
      <c r="K14" s="11" t="n"/>
      <c r="L14" s="6" t="n"/>
      <c r="M14" s="6" t="n"/>
      <c r="N14" s="6" t="n"/>
      <c r="O14" s="11" t="n"/>
      <c r="P14" s="10">
        <f>IF(AND(L14&lt;&gt;"",M14&lt;&gt;"",N14&lt;&gt;"",O14&lt;&gt;""),"✅","❌")</f>
        <v/>
      </c>
      <c r="Q14" s="6" t="n"/>
      <c r="R14" s="12">
        <f>IFERROR(VLOOKUP(Q14,Productos!B:F,2,FALSE),"")</f>
        <v/>
      </c>
      <c r="S14" s="12">
        <f>IFERROR(VLOOKUP(Q14,Productos!B:F,4,FALSE),"")</f>
        <v/>
      </c>
      <c r="T14" s="9" t="n"/>
      <c r="U14" s="6" t="n"/>
      <c r="V14" s="12">
        <f>IFERROR(IF(J14="cerrado",S14*VLOOKUP(G14,Parejas!A:E,4,FALSE),0),0)</f>
        <v/>
      </c>
      <c r="W14" s="12">
        <f>IFERROR(IF(J14="cerrado",S14*VLOOKUP(G14,Parejas!A:E,5,FALSE),0),0)</f>
        <v/>
      </c>
      <c r="X14" s="12">
        <f>IF(AND(J14="cerrado",U14=TRUE),50,0)</f>
        <v/>
      </c>
      <c r="Y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10">
        <f>IFERROR(VLOOKUP(G15,Parejas!A:F,2,FALSE),"")</f>
        <v/>
      </c>
      <c r="I15" s="10">
        <f>IFERROR(VLOOKUP(G15,Parejas!A:F,3,FALSE),"")</f>
        <v/>
      </c>
      <c r="J15" s="6" t="n"/>
      <c r="K15" s="11" t="n"/>
      <c r="L15" s="6" t="n"/>
      <c r="M15" s="6" t="n"/>
      <c r="N15" s="6" t="n"/>
      <c r="O15" s="11" t="n"/>
      <c r="P15" s="10">
        <f>IF(AND(L15&lt;&gt;"",M15&lt;&gt;"",N15&lt;&gt;"",O15&lt;&gt;""),"✅","❌")</f>
        <v/>
      </c>
      <c r="Q15" s="6" t="n"/>
      <c r="R15" s="12">
        <f>IFERROR(VLOOKUP(Q15,Productos!B:F,2,FALSE),"")</f>
        <v/>
      </c>
      <c r="S15" s="12">
        <f>IFERROR(VLOOKUP(Q15,Productos!B:F,4,FALSE),"")</f>
        <v/>
      </c>
      <c r="T15" s="9" t="n"/>
      <c r="U15" s="6" t="n"/>
      <c r="V15" s="12">
        <f>IFERROR(IF(J15="cerrado",S15*VLOOKUP(G15,Parejas!A:E,4,FALSE),0),0)</f>
        <v/>
      </c>
      <c r="W15" s="12">
        <f>IFERROR(IF(J15="cerrado",S15*VLOOKUP(G15,Parejas!A:E,5,FALSE),0),0)</f>
        <v/>
      </c>
      <c r="X15" s="12">
        <f>IF(AND(J15="cerrado",U15=TRUE),50,0)</f>
        <v/>
      </c>
      <c r="Y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10">
        <f>IFERROR(VLOOKUP(G16,Parejas!A:F,2,FALSE),"")</f>
        <v/>
      </c>
      <c r="I16" s="10">
        <f>IFERROR(VLOOKUP(G16,Parejas!A:F,3,FALSE),"")</f>
        <v/>
      </c>
      <c r="J16" s="6" t="n"/>
      <c r="K16" s="11" t="n"/>
      <c r="L16" s="6" t="n"/>
      <c r="M16" s="6" t="n"/>
      <c r="N16" s="6" t="n"/>
      <c r="O16" s="11" t="n"/>
      <c r="P16" s="10">
        <f>IF(AND(L16&lt;&gt;"",M16&lt;&gt;"",N16&lt;&gt;"",O16&lt;&gt;""),"✅","❌")</f>
        <v/>
      </c>
      <c r="Q16" s="6" t="n"/>
      <c r="R16" s="12">
        <f>IFERROR(VLOOKUP(Q16,Productos!B:F,2,FALSE),"")</f>
        <v/>
      </c>
      <c r="S16" s="12">
        <f>IFERROR(VLOOKUP(Q16,Productos!B:F,4,FALSE),"")</f>
        <v/>
      </c>
      <c r="T16" s="9" t="n"/>
      <c r="U16" s="6" t="n"/>
      <c r="V16" s="12">
        <f>IFERROR(IF(J16="cerrado",S16*VLOOKUP(G16,Parejas!A:E,4,FALSE),0),0)</f>
        <v/>
      </c>
      <c r="W16" s="12">
        <f>IFERROR(IF(J16="cerrado",S16*VLOOKUP(G16,Parejas!A:E,5,FALSE),0),0)</f>
        <v/>
      </c>
      <c r="X16" s="12">
        <f>IF(AND(J16="cerrado",U16=TRUE),50,0)</f>
        <v/>
      </c>
      <c r="Y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10">
        <f>IFERROR(VLOOKUP(G17,Parejas!A:F,2,FALSE),"")</f>
        <v/>
      </c>
      <c r="I17" s="10">
        <f>IFERROR(VLOOKUP(G17,Parejas!A:F,3,FALSE),"")</f>
        <v/>
      </c>
      <c r="J17" s="6" t="n"/>
      <c r="K17" s="11" t="n"/>
      <c r="L17" s="6" t="n"/>
      <c r="M17" s="6" t="n"/>
      <c r="N17" s="6" t="n"/>
      <c r="O17" s="11" t="n"/>
      <c r="P17" s="10">
        <f>IF(AND(L17&lt;&gt;"",M17&lt;&gt;"",N17&lt;&gt;"",O17&lt;&gt;""),"✅","❌")</f>
        <v/>
      </c>
      <c r="Q17" s="6" t="n"/>
      <c r="R17" s="12">
        <f>IFERROR(VLOOKUP(Q17,Productos!B:F,2,FALSE),"")</f>
        <v/>
      </c>
      <c r="S17" s="12">
        <f>IFERROR(VLOOKUP(Q17,Productos!B:F,4,FALSE),"")</f>
        <v/>
      </c>
      <c r="T17" s="9" t="n"/>
      <c r="U17" s="6" t="n"/>
      <c r="V17" s="12">
        <f>IFERROR(IF(J17="cerrado",S17*VLOOKUP(G17,Parejas!A:E,4,FALSE),0),0)</f>
        <v/>
      </c>
      <c r="W17" s="12">
        <f>IFERROR(IF(J17="cerrado",S17*VLOOKUP(G17,Parejas!A:E,5,FALSE),0),0)</f>
        <v/>
      </c>
      <c r="X17" s="12">
        <f>IF(AND(J17="cerrado",U17=TRUE),50,0)</f>
        <v/>
      </c>
      <c r="Y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10">
        <f>IFERROR(VLOOKUP(G18,Parejas!A:F,2,FALSE),"")</f>
        <v/>
      </c>
      <c r="I18" s="10">
        <f>IFERROR(VLOOKUP(G18,Parejas!A:F,3,FALSE),"")</f>
        <v/>
      </c>
      <c r="J18" s="6" t="n"/>
      <c r="K18" s="11" t="n"/>
      <c r="L18" s="6" t="n"/>
      <c r="M18" s="6" t="n"/>
      <c r="N18" s="6" t="n"/>
      <c r="O18" s="11" t="n"/>
      <c r="P18" s="10">
        <f>IF(AND(L18&lt;&gt;"",M18&lt;&gt;"",N18&lt;&gt;"",O18&lt;&gt;""),"✅","❌")</f>
        <v/>
      </c>
      <c r="Q18" s="6" t="n"/>
      <c r="R18" s="12">
        <f>IFERROR(VLOOKUP(Q18,Productos!B:F,2,FALSE),"")</f>
        <v/>
      </c>
      <c r="S18" s="12">
        <f>IFERROR(VLOOKUP(Q18,Productos!B:F,4,FALSE),"")</f>
        <v/>
      </c>
      <c r="T18" s="9" t="n"/>
      <c r="U18" s="6" t="n"/>
      <c r="V18" s="12">
        <f>IFERROR(IF(J18="cerrado",S18*VLOOKUP(G18,Parejas!A:E,4,FALSE),0),0)</f>
        <v/>
      </c>
      <c r="W18" s="12">
        <f>IFERROR(IF(J18="cerrado",S18*VLOOKUP(G18,Parejas!A:E,5,FALSE),0),0)</f>
        <v/>
      </c>
      <c r="X18" s="12">
        <f>IF(AND(J18="cerrado",U18=TRUE),50,0)</f>
        <v/>
      </c>
      <c r="Y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10">
        <f>IFERROR(VLOOKUP(G19,Parejas!A:F,2,FALSE),"")</f>
        <v/>
      </c>
      <c r="I19" s="10">
        <f>IFERROR(VLOOKUP(G19,Parejas!A:F,3,FALSE),"")</f>
        <v/>
      </c>
      <c r="J19" s="6" t="n"/>
      <c r="K19" s="11" t="n"/>
      <c r="L19" s="6" t="n"/>
      <c r="M19" s="6" t="n"/>
      <c r="N19" s="6" t="n"/>
      <c r="O19" s="11" t="n"/>
      <c r="P19" s="10">
        <f>IF(AND(L19&lt;&gt;"",M19&lt;&gt;"",N19&lt;&gt;"",O19&lt;&gt;""),"✅","❌")</f>
        <v/>
      </c>
      <c r="Q19" s="6" t="n"/>
      <c r="R19" s="12">
        <f>IFERROR(VLOOKUP(Q19,Productos!B:F,2,FALSE),"")</f>
        <v/>
      </c>
      <c r="S19" s="12">
        <f>IFERROR(VLOOKUP(Q19,Productos!B:F,4,FALSE),"")</f>
        <v/>
      </c>
      <c r="T19" s="9" t="n"/>
      <c r="U19" s="6" t="n"/>
      <c r="V19" s="12">
        <f>IFERROR(IF(J19="cerrado",S19*VLOOKUP(G19,Parejas!A:E,4,FALSE),0),0)</f>
        <v/>
      </c>
      <c r="W19" s="12">
        <f>IFERROR(IF(J19="cerrado",S19*VLOOKUP(G19,Parejas!A:E,5,FALSE),0),0)</f>
        <v/>
      </c>
      <c r="X19" s="12">
        <f>IF(AND(J19="cerrado",U19=TRUE),50,0)</f>
        <v/>
      </c>
      <c r="Y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10">
        <f>IFERROR(VLOOKUP(G20,Parejas!A:F,2,FALSE),"")</f>
        <v/>
      </c>
      <c r="I20" s="10">
        <f>IFERROR(VLOOKUP(G20,Parejas!A:F,3,FALSE),"")</f>
        <v/>
      </c>
      <c r="J20" s="6" t="n"/>
      <c r="K20" s="11" t="n"/>
      <c r="L20" s="6" t="n"/>
      <c r="M20" s="6" t="n"/>
      <c r="N20" s="6" t="n"/>
      <c r="O20" s="11" t="n"/>
      <c r="P20" s="10">
        <f>IF(AND(L20&lt;&gt;"",M20&lt;&gt;"",N20&lt;&gt;"",O20&lt;&gt;""),"✅","❌")</f>
        <v/>
      </c>
      <c r="Q20" s="6" t="n"/>
      <c r="R20" s="12">
        <f>IFERROR(VLOOKUP(Q20,Productos!B:F,2,FALSE),"")</f>
        <v/>
      </c>
      <c r="S20" s="12">
        <f>IFERROR(VLOOKUP(Q20,Productos!B:F,4,FALSE),"")</f>
        <v/>
      </c>
      <c r="T20" s="9" t="n"/>
      <c r="U20" s="6" t="n"/>
      <c r="V20" s="12">
        <f>IFERROR(IF(J20="cerrado",S20*VLOOKUP(G20,Parejas!A:E,4,FALSE),0),0)</f>
        <v/>
      </c>
      <c r="W20" s="12">
        <f>IFERROR(IF(J20="cerrado",S20*VLOOKUP(G20,Parejas!A:E,5,FALSE),0),0)</f>
        <v/>
      </c>
      <c r="X20" s="12">
        <f>IF(AND(J20="cerrado",U20=TRUE),50,0)</f>
        <v/>
      </c>
      <c r="Y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10">
        <f>IFERROR(VLOOKUP(G21,Parejas!A:F,2,FALSE),"")</f>
        <v/>
      </c>
      <c r="I21" s="10">
        <f>IFERROR(VLOOKUP(G21,Parejas!A:F,3,FALSE),"")</f>
        <v/>
      </c>
      <c r="J21" s="6" t="n"/>
      <c r="K21" s="11" t="n"/>
      <c r="L21" s="6" t="n"/>
      <c r="M21" s="6" t="n"/>
      <c r="N21" s="6" t="n"/>
      <c r="O21" s="11" t="n"/>
      <c r="P21" s="10">
        <f>IF(AND(L21&lt;&gt;"",M21&lt;&gt;"",N21&lt;&gt;"",O21&lt;&gt;""),"✅","❌")</f>
        <v/>
      </c>
      <c r="Q21" s="6" t="n"/>
      <c r="R21" s="12">
        <f>IFERROR(VLOOKUP(Q21,Productos!B:F,2,FALSE),"")</f>
        <v/>
      </c>
      <c r="S21" s="12">
        <f>IFERROR(VLOOKUP(Q21,Productos!B:F,4,FALSE),"")</f>
        <v/>
      </c>
      <c r="T21" s="9" t="n"/>
      <c r="U21" s="6" t="n"/>
      <c r="V21" s="12">
        <f>IFERROR(IF(J21="cerrado",S21*VLOOKUP(G21,Parejas!A:E,4,FALSE),0),0)</f>
        <v/>
      </c>
      <c r="W21" s="12">
        <f>IFERROR(IF(J21="cerrado",S21*VLOOKUP(G21,Parejas!A:E,5,FALSE),0),0)</f>
        <v/>
      </c>
      <c r="X21" s="12">
        <f>IF(AND(J21="cerrado",U21=TRUE),50,0)</f>
        <v/>
      </c>
      <c r="Y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10">
        <f>IFERROR(VLOOKUP(G22,Parejas!A:F,2,FALSE),"")</f>
        <v/>
      </c>
      <c r="I22" s="10">
        <f>IFERROR(VLOOKUP(G22,Parejas!A:F,3,FALSE),"")</f>
        <v/>
      </c>
      <c r="J22" s="6" t="n"/>
      <c r="K22" s="11" t="n"/>
      <c r="L22" s="6" t="n"/>
      <c r="M22" s="6" t="n"/>
      <c r="N22" s="6" t="n"/>
      <c r="O22" s="11" t="n"/>
      <c r="P22" s="10">
        <f>IF(AND(L22&lt;&gt;"",M22&lt;&gt;"",N22&lt;&gt;"",O22&lt;&gt;""),"✅","❌")</f>
        <v/>
      </c>
      <c r="Q22" s="6" t="n"/>
      <c r="R22" s="12">
        <f>IFERROR(VLOOKUP(Q22,Productos!B:F,2,FALSE),"")</f>
        <v/>
      </c>
      <c r="S22" s="12">
        <f>IFERROR(VLOOKUP(Q22,Productos!B:F,4,FALSE),"")</f>
        <v/>
      </c>
      <c r="T22" s="9" t="n"/>
      <c r="U22" s="6" t="n"/>
      <c r="V22" s="12">
        <f>IFERROR(IF(J22="cerrado",S22*VLOOKUP(G22,Parejas!A:E,4,FALSE),0),0)</f>
        <v/>
      </c>
      <c r="W22" s="12">
        <f>IFERROR(IF(J22="cerrado",S22*VLOOKUP(G22,Parejas!A:E,5,FALSE),0),0)</f>
        <v/>
      </c>
      <c r="X22" s="12">
        <f>IF(AND(J22="cerrado",U22=TRUE),50,0)</f>
        <v/>
      </c>
      <c r="Y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10">
        <f>IFERROR(VLOOKUP(G23,Parejas!A:F,2,FALSE),"")</f>
        <v/>
      </c>
      <c r="I23" s="10">
        <f>IFERROR(VLOOKUP(G23,Parejas!A:F,3,FALSE),"")</f>
        <v/>
      </c>
      <c r="J23" s="6" t="n"/>
      <c r="K23" s="11" t="n"/>
      <c r="L23" s="6" t="n"/>
      <c r="M23" s="6" t="n"/>
      <c r="N23" s="6" t="n"/>
      <c r="O23" s="11" t="n"/>
      <c r="P23" s="10">
        <f>IF(AND(L23&lt;&gt;"",M23&lt;&gt;"",N23&lt;&gt;"",O23&lt;&gt;""),"✅","❌")</f>
        <v/>
      </c>
      <c r="Q23" s="6" t="n"/>
      <c r="R23" s="12">
        <f>IFERROR(VLOOKUP(Q23,Productos!B:F,2,FALSE),"")</f>
        <v/>
      </c>
      <c r="S23" s="12">
        <f>IFERROR(VLOOKUP(Q23,Productos!B:F,4,FALSE),"")</f>
        <v/>
      </c>
      <c r="T23" s="9" t="n"/>
      <c r="U23" s="6" t="n"/>
      <c r="V23" s="12">
        <f>IFERROR(IF(J23="cerrado",S23*VLOOKUP(G23,Parejas!A:E,4,FALSE),0),0)</f>
        <v/>
      </c>
      <c r="W23" s="12">
        <f>IFERROR(IF(J23="cerrado",S23*VLOOKUP(G23,Parejas!A:E,5,FALSE),0),0)</f>
        <v/>
      </c>
      <c r="X23" s="12">
        <f>IF(AND(J23="cerrado",U23=TRUE),50,0)</f>
        <v/>
      </c>
      <c r="Y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10">
        <f>IFERROR(VLOOKUP(G24,Parejas!A:F,2,FALSE),"")</f>
        <v/>
      </c>
      <c r="I24" s="10">
        <f>IFERROR(VLOOKUP(G24,Parejas!A:F,3,FALSE),"")</f>
        <v/>
      </c>
      <c r="J24" s="6" t="n"/>
      <c r="K24" s="11" t="n"/>
      <c r="L24" s="6" t="n"/>
      <c r="M24" s="6" t="n"/>
      <c r="N24" s="6" t="n"/>
      <c r="O24" s="11" t="n"/>
      <c r="P24" s="10">
        <f>IF(AND(L24&lt;&gt;"",M24&lt;&gt;"",N24&lt;&gt;"",O24&lt;&gt;""),"✅","❌")</f>
        <v/>
      </c>
      <c r="Q24" s="6" t="n"/>
      <c r="R24" s="12">
        <f>IFERROR(VLOOKUP(Q24,Productos!B:F,2,FALSE),"")</f>
        <v/>
      </c>
      <c r="S24" s="12">
        <f>IFERROR(VLOOKUP(Q24,Productos!B:F,4,FALSE),"")</f>
        <v/>
      </c>
      <c r="T24" s="9" t="n"/>
      <c r="U24" s="6" t="n"/>
      <c r="V24" s="12">
        <f>IFERROR(IF(J24="cerrado",S24*VLOOKUP(G24,Parejas!A:E,4,FALSE),0),0)</f>
        <v/>
      </c>
      <c r="W24" s="12">
        <f>IFERROR(IF(J24="cerrado",S24*VLOOKUP(G24,Parejas!A:E,5,FALSE),0),0)</f>
        <v/>
      </c>
      <c r="X24" s="12">
        <f>IF(AND(J24="cerrado",U24=TRUE),50,0)</f>
        <v/>
      </c>
      <c r="Y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10">
        <f>IFERROR(VLOOKUP(G25,Parejas!A:F,2,FALSE),"")</f>
        <v/>
      </c>
      <c r="I25" s="10">
        <f>IFERROR(VLOOKUP(G25,Parejas!A:F,3,FALSE),"")</f>
        <v/>
      </c>
      <c r="J25" s="6" t="n"/>
      <c r="K25" s="11" t="n"/>
      <c r="L25" s="6" t="n"/>
      <c r="M25" s="6" t="n"/>
      <c r="N25" s="6" t="n"/>
      <c r="O25" s="11" t="n"/>
      <c r="P25" s="10">
        <f>IF(AND(L25&lt;&gt;"",M25&lt;&gt;"",N25&lt;&gt;"",O25&lt;&gt;""),"✅","❌")</f>
        <v/>
      </c>
      <c r="Q25" s="6" t="n"/>
      <c r="R25" s="12">
        <f>IFERROR(VLOOKUP(Q25,Productos!B:F,2,FALSE),"")</f>
        <v/>
      </c>
      <c r="S25" s="12">
        <f>IFERROR(VLOOKUP(Q25,Productos!B:F,4,FALSE),"")</f>
        <v/>
      </c>
      <c r="T25" s="9" t="n"/>
      <c r="U25" s="6" t="n"/>
      <c r="V25" s="12">
        <f>IFERROR(IF(J25="cerrado",S25*VLOOKUP(G25,Parejas!A:E,4,FALSE),0),0)</f>
        <v/>
      </c>
      <c r="W25" s="12">
        <f>IFERROR(IF(J25="cerrado",S25*VLOOKUP(G25,Parejas!A:E,5,FALSE),0),0)</f>
        <v/>
      </c>
      <c r="X25" s="12">
        <f>IF(AND(J25="cerrado",U25=TRUE),50,0)</f>
        <v/>
      </c>
      <c r="Y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10">
        <f>IFERROR(VLOOKUP(G26,Parejas!A:F,2,FALSE),"")</f>
        <v/>
      </c>
      <c r="I26" s="10">
        <f>IFERROR(VLOOKUP(G26,Parejas!A:F,3,FALSE),"")</f>
        <v/>
      </c>
      <c r="J26" s="6" t="n"/>
      <c r="K26" s="11" t="n"/>
      <c r="L26" s="6" t="n"/>
      <c r="M26" s="6" t="n"/>
      <c r="N26" s="6" t="n"/>
      <c r="O26" s="11" t="n"/>
      <c r="P26" s="10">
        <f>IF(AND(L26&lt;&gt;"",M26&lt;&gt;"",N26&lt;&gt;"",O26&lt;&gt;""),"✅","❌")</f>
        <v/>
      </c>
      <c r="Q26" s="6" t="n"/>
      <c r="R26" s="12">
        <f>IFERROR(VLOOKUP(Q26,Productos!B:F,2,FALSE),"")</f>
        <v/>
      </c>
      <c r="S26" s="12">
        <f>IFERROR(VLOOKUP(Q26,Productos!B:F,4,FALSE),"")</f>
        <v/>
      </c>
      <c r="T26" s="9" t="n"/>
      <c r="U26" s="6" t="n"/>
      <c r="V26" s="12">
        <f>IFERROR(IF(J26="cerrado",S26*VLOOKUP(G26,Parejas!A:E,4,FALSE),0),0)</f>
        <v/>
      </c>
      <c r="W26" s="12">
        <f>IFERROR(IF(J26="cerrado",S26*VLOOKUP(G26,Parejas!A:E,5,FALSE),0),0)</f>
        <v/>
      </c>
      <c r="X26" s="12">
        <f>IF(AND(J26="cerrado",U26=TRUE),50,0)</f>
        <v/>
      </c>
      <c r="Y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10">
        <f>IFERROR(VLOOKUP(G27,Parejas!A:F,2,FALSE),"")</f>
        <v/>
      </c>
      <c r="I27" s="10">
        <f>IFERROR(VLOOKUP(G27,Parejas!A:F,3,FALSE),"")</f>
        <v/>
      </c>
      <c r="J27" s="6" t="n"/>
      <c r="K27" s="11" t="n"/>
      <c r="L27" s="6" t="n"/>
      <c r="M27" s="6" t="n"/>
      <c r="N27" s="6" t="n"/>
      <c r="O27" s="11" t="n"/>
      <c r="P27" s="10">
        <f>IF(AND(L27&lt;&gt;"",M27&lt;&gt;"",N27&lt;&gt;"",O27&lt;&gt;""),"✅","❌")</f>
        <v/>
      </c>
      <c r="Q27" s="6" t="n"/>
      <c r="R27" s="12">
        <f>IFERROR(VLOOKUP(Q27,Productos!B:F,2,FALSE),"")</f>
        <v/>
      </c>
      <c r="S27" s="12">
        <f>IFERROR(VLOOKUP(Q27,Productos!B:F,4,FALSE),"")</f>
        <v/>
      </c>
      <c r="T27" s="9" t="n"/>
      <c r="U27" s="6" t="n"/>
      <c r="V27" s="12">
        <f>IFERROR(IF(J27="cerrado",S27*VLOOKUP(G27,Parejas!A:E,4,FALSE),0),0)</f>
        <v/>
      </c>
      <c r="W27" s="12">
        <f>IFERROR(IF(J27="cerrado",S27*VLOOKUP(G27,Parejas!A:E,5,FALSE),0),0)</f>
        <v/>
      </c>
      <c r="X27" s="12">
        <f>IF(AND(J27="cerrado",U27=TRUE),50,0)</f>
        <v/>
      </c>
      <c r="Y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10">
        <f>IFERROR(VLOOKUP(G28,Parejas!A:F,2,FALSE),"")</f>
        <v/>
      </c>
      <c r="I28" s="10">
        <f>IFERROR(VLOOKUP(G28,Parejas!A:F,3,FALSE),"")</f>
        <v/>
      </c>
      <c r="J28" s="6" t="n"/>
      <c r="K28" s="11" t="n"/>
      <c r="L28" s="6" t="n"/>
      <c r="M28" s="6" t="n"/>
      <c r="N28" s="6" t="n"/>
      <c r="O28" s="11" t="n"/>
      <c r="P28" s="10">
        <f>IF(AND(L28&lt;&gt;"",M28&lt;&gt;"",N28&lt;&gt;"",O28&lt;&gt;""),"✅","❌")</f>
        <v/>
      </c>
      <c r="Q28" s="6" t="n"/>
      <c r="R28" s="12">
        <f>IFERROR(VLOOKUP(Q28,Productos!B:F,2,FALSE),"")</f>
        <v/>
      </c>
      <c r="S28" s="12">
        <f>IFERROR(VLOOKUP(Q28,Productos!B:F,4,FALSE),"")</f>
        <v/>
      </c>
      <c r="T28" s="9" t="n"/>
      <c r="U28" s="6" t="n"/>
      <c r="V28" s="12">
        <f>IFERROR(IF(J28="cerrado",S28*VLOOKUP(G28,Parejas!A:E,4,FALSE),0),0)</f>
        <v/>
      </c>
      <c r="W28" s="12">
        <f>IFERROR(IF(J28="cerrado",S28*VLOOKUP(G28,Parejas!A:E,5,FALSE),0),0)</f>
        <v/>
      </c>
      <c r="X28" s="12">
        <f>IF(AND(J28="cerrado",U28=TRUE),50,0)</f>
        <v/>
      </c>
      <c r="Y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10">
        <f>IFERROR(VLOOKUP(G29,Parejas!A:F,2,FALSE),"")</f>
        <v/>
      </c>
      <c r="I29" s="10">
        <f>IFERROR(VLOOKUP(G29,Parejas!A:F,3,FALSE),"")</f>
        <v/>
      </c>
      <c r="J29" s="6" t="n"/>
      <c r="K29" s="11" t="n"/>
      <c r="L29" s="6" t="n"/>
      <c r="M29" s="6" t="n"/>
      <c r="N29" s="6" t="n"/>
      <c r="O29" s="11" t="n"/>
      <c r="P29" s="10">
        <f>IF(AND(L29&lt;&gt;"",M29&lt;&gt;"",N29&lt;&gt;"",O29&lt;&gt;""),"✅","❌")</f>
        <v/>
      </c>
      <c r="Q29" s="6" t="n"/>
      <c r="R29" s="12">
        <f>IFERROR(VLOOKUP(Q29,Productos!B:F,2,FALSE),"")</f>
        <v/>
      </c>
      <c r="S29" s="12">
        <f>IFERROR(VLOOKUP(Q29,Productos!B:F,4,FALSE),"")</f>
        <v/>
      </c>
      <c r="T29" s="9" t="n"/>
      <c r="U29" s="6" t="n"/>
      <c r="V29" s="12">
        <f>IFERROR(IF(J29="cerrado",S29*VLOOKUP(G29,Parejas!A:E,4,FALSE),0),0)</f>
        <v/>
      </c>
      <c r="W29" s="12">
        <f>IFERROR(IF(J29="cerrado",S29*VLOOKUP(G29,Parejas!A:E,5,FALSE),0),0)</f>
        <v/>
      </c>
      <c r="X29" s="12">
        <f>IF(AND(J29="cerrado",U29=TRUE),50,0)</f>
        <v/>
      </c>
      <c r="Y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10">
        <f>IFERROR(VLOOKUP(G30,Parejas!A:F,2,FALSE),"")</f>
        <v/>
      </c>
      <c r="I30" s="10">
        <f>IFERROR(VLOOKUP(G30,Parejas!A:F,3,FALSE),"")</f>
        <v/>
      </c>
      <c r="J30" s="6" t="n"/>
      <c r="K30" s="11" t="n"/>
      <c r="L30" s="6" t="n"/>
      <c r="M30" s="6" t="n"/>
      <c r="N30" s="6" t="n"/>
      <c r="O30" s="11" t="n"/>
      <c r="P30" s="10">
        <f>IF(AND(L30&lt;&gt;"",M30&lt;&gt;"",N30&lt;&gt;"",O30&lt;&gt;""),"✅","❌")</f>
        <v/>
      </c>
      <c r="Q30" s="6" t="n"/>
      <c r="R30" s="12">
        <f>IFERROR(VLOOKUP(Q30,Productos!B:F,2,FALSE),"")</f>
        <v/>
      </c>
      <c r="S30" s="12">
        <f>IFERROR(VLOOKUP(Q30,Productos!B:F,4,FALSE),"")</f>
        <v/>
      </c>
      <c r="T30" s="9" t="n"/>
      <c r="U30" s="6" t="n"/>
      <c r="V30" s="12">
        <f>IFERROR(IF(J30="cerrado",S30*VLOOKUP(G30,Parejas!A:E,4,FALSE),0),0)</f>
        <v/>
      </c>
      <c r="W30" s="12">
        <f>IFERROR(IF(J30="cerrado",S30*VLOOKUP(G30,Parejas!A:E,5,FALSE),0),0)</f>
        <v/>
      </c>
      <c r="X30" s="12">
        <f>IF(AND(J30="cerrado",U30=TRUE),50,0)</f>
        <v/>
      </c>
      <c r="Y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10">
        <f>IFERROR(VLOOKUP(G31,Parejas!A:F,2,FALSE),"")</f>
        <v/>
      </c>
      <c r="I31" s="10">
        <f>IFERROR(VLOOKUP(G31,Parejas!A:F,3,FALSE),"")</f>
        <v/>
      </c>
      <c r="J31" s="6" t="n"/>
      <c r="K31" s="11" t="n"/>
      <c r="L31" s="6" t="n"/>
      <c r="M31" s="6" t="n"/>
      <c r="N31" s="6" t="n"/>
      <c r="O31" s="11" t="n"/>
      <c r="P31" s="10">
        <f>IF(AND(L31&lt;&gt;"",M31&lt;&gt;"",N31&lt;&gt;"",O31&lt;&gt;""),"✅","❌")</f>
        <v/>
      </c>
      <c r="Q31" s="6" t="n"/>
      <c r="R31" s="12">
        <f>IFERROR(VLOOKUP(Q31,Productos!B:F,2,FALSE),"")</f>
        <v/>
      </c>
      <c r="S31" s="12">
        <f>IFERROR(VLOOKUP(Q31,Productos!B:F,4,FALSE),"")</f>
        <v/>
      </c>
      <c r="T31" s="9" t="n"/>
      <c r="U31" s="6" t="n"/>
      <c r="V31" s="12">
        <f>IFERROR(IF(J31="cerrado",S31*VLOOKUP(G31,Parejas!A:E,4,FALSE),0),0)</f>
        <v/>
      </c>
      <c r="W31" s="12">
        <f>IFERROR(IF(J31="cerrado",S31*VLOOKUP(G31,Parejas!A:E,5,FALSE),0),0)</f>
        <v/>
      </c>
      <c r="X31" s="12">
        <f>IF(AND(J31="cerrado",U31=TRUE),50,0)</f>
        <v/>
      </c>
      <c r="Y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10">
        <f>IFERROR(VLOOKUP(G32,Parejas!A:F,2,FALSE),"")</f>
        <v/>
      </c>
      <c r="I32" s="10">
        <f>IFERROR(VLOOKUP(G32,Parejas!A:F,3,FALSE),"")</f>
        <v/>
      </c>
      <c r="J32" s="6" t="n"/>
      <c r="K32" s="11" t="n"/>
      <c r="L32" s="6" t="n"/>
      <c r="M32" s="6" t="n"/>
      <c r="N32" s="6" t="n"/>
      <c r="O32" s="11" t="n"/>
      <c r="P32" s="10">
        <f>IF(AND(L32&lt;&gt;"",M32&lt;&gt;"",N32&lt;&gt;"",O32&lt;&gt;""),"✅","❌")</f>
        <v/>
      </c>
      <c r="Q32" s="6" t="n"/>
      <c r="R32" s="12">
        <f>IFERROR(VLOOKUP(Q32,Productos!B:F,2,FALSE),"")</f>
        <v/>
      </c>
      <c r="S32" s="12">
        <f>IFERROR(VLOOKUP(Q32,Productos!B:F,4,FALSE),"")</f>
        <v/>
      </c>
      <c r="T32" s="9" t="n"/>
      <c r="U32" s="6" t="n"/>
      <c r="V32" s="12">
        <f>IFERROR(IF(J32="cerrado",S32*VLOOKUP(G32,Parejas!A:E,4,FALSE),0),0)</f>
        <v/>
      </c>
      <c r="W32" s="12">
        <f>IFERROR(IF(J32="cerrado",S32*VLOOKUP(G32,Parejas!A:E,5,FALSE),0),0)</f>
        <v/>
      </c>
      <c r="X32" s="12">
        <f>IF(AND(J32="cerrado",U32=TRUE),50,0)</f>
        <v/>
      </c>
      <c r="Y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10">
        <f>IFERROR(VLOOKUP(G33,Parejas!A:F,2,FALSE),"")</f>
        <v/>
      </c>
      <c r="I33" s="10">
        <f>IFERROR(VLOOKUP(G33,Parejas!A:F,3,FALSE),"")</f>
        <v/>
      </c>
      <c r="J33" s="6" t="n"/>
      <c r="K33" s="11" t="n"/>
      <c r="L33" s="6" t="n"/>
      <c r="M33" s="6" t="n"/>
      <c r="N33" s="6" t="n"/>
      <c r="O33" s="11" t="n"/>
      <c r="P33" s="10">
        <f>IF(AND(L33&lt;&gt;"",M33&lt;&gt;"",N33&lt;&gt;"",O33&lt;&gt;""),"✅","❌")</f>
        <v/>
      </c>
      <c r="Q33" s="6" t="n"/>
      <c r="R33" s="12">
        <f>IFERROR(VLOOKUP(Q33,Productos!B:F,2,FALSE),"")</f>
        <v/>
      </c>
      <c r="S33" s="12">
        <f>IFERROR(VLOOKUP(Q33,Productos!B:F,4,FALSE),"")</f>
        <v/>
      </c>
      <c r="T33" s="9" t="n"/>
      <c r="U33" s="6" t="n"/>
      <c r="V33" s="12">
        <f>IFERROR(IF(J33="cerrado",S33*VLOOKUP(G33,Parejas!A:E,4,FALSE),0),0)</f>
        <v/>
      </c>
      <c r="W33" s="12">
        <f>IFERROR(IF(J33="cerrado",S33*VLOOKUP(G33,Parejas!A:E,5,FALSE),0),0)</f>
        <v/>
      </c>
      <c r="X33" s="12">
        <f>IF(AND(J33="cerrado",U33=TRUE),50,0)</f>
        <v/>
      </c>
      <c r="Y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10">
        <f>IFERROR(VLOOKUP(G34,Parejas!A:F,2,FALSE),"")</f>
        <v/>
      </c>
      <c r="I34" s="10">
        <f>IFERROR(VLOOKUP(G34,Parejas!A:F,3,FALSE),"")</f>
        <v/>
      </c>
      <c r="J34" s="6" t="n"/>
      <c r="K34" s="11" t="n"/>
      <c r="L34" s="6" t="n"/>
      <c r="M34" s="6" t="n"/>
      <c r="N34" s="6" t="n"/>
      <c r="O34" s="11" t="n"/>
      <c r="P34" s="10">
        <f>IF(AND(L34&lt;&gt;"",M34&lt;&gt;"",N34&lt;&gt;"",O34&lt;&gt;""),"✅","❌")</f>
        <v/>
      </c>
      <c r="Q34" s="6" t="n"/>
      <c r="R34" s="12">
        <f>IFERROR(VLOOKUP(Q34,Productos!B:F,2,FALSE),"")</f>
        <v/>
      </c>
      <c r="S34" s="12">
        <f>IFERROR(VLOOKUP(Q34,Productos!B:F,4,FALSE),"")</f>
        <v/>
      </c>
      <c r="T34" s="9" t="n"/>
      <c r="U34" s="6" t="n"/>
      <c r="V34" s="12">
        <f>IFERROR(IF(J34="cerrado",S34*VLOOKUP(G34,Parejas!A:E,4,FALSE),0),0)</f>
        <v/>
      </c>
      <c r="W34" s="12">
        <f>IFERROR(IF(J34="cerrado",S34*VLOOKUP(G34,Parejas!A:E,5,FALSE),0),0)</f>
        <v/>
      </c>
      <c r="X34" s="12">
        <f>IF(AND(J34="cerrado",U34=TRUE),50,0)</f>
        <v/>
      </c>
      <c r="Y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10">
        <f>IFERROR(VLOOKUP(G35,Parejas!A:F,2,FALSE),"")</f>
        <v/>
      </c>
      <c r="I35" s="10">
        <f>IFERROR(VLOOKUP(G35,Parejas!A:F,3,FALSE),"")</f>
        <v/>
      </c>
      <c r="J35" s="6" t="n"/>
      <c r="K35" s="11" t="n"/>
      <c r="L35" s="6" t="n"/>
      <c r="M35" s="6" t="n"/>
      <c r="N35" s="6" t="n"/>
      <c r="O35" s="11" t="n"/>
      <c r="P35" s="10">
        <f>IF(AND(L35&lt;&gt;"",M35&lt;&gt;"",N35&lt;&gt;"",O35&lt;&gt;""),"✅","❌")</f>
        <v/>
      </c>
      <c r="Q35" s="6" t="n"/>
      <c r="R35" s="12">
        <f>IFERROR(VLOOKUP(Q35,Productos!B:F,2,FALSE),"")</f>
        <v/>
      </c>
      <c r="S35" s="12">
        <f>IFERROR(VLOOKUP(Q35,Productos!B:F,4,FALSE),"")</f>
        <v/>
      </c>
      <c r="T35" s="9" t="n"/>
      <c r="U35" s="6" t="n"/>
      <c r="V35" s="12">
        <f>IFERROR(IF(J35="cerrado",S35*VLOOKUP(G35,Parejas!A:E,4,FALSE),0),0)</f>
        <v/>
      </c>
      <c r="W35" s="12">
        <f>IFERROR(IF(J35="cerrado",S35*VLOOKUP(G35,Parejas!A:E,5,FALSE),0),0)</f>
        <v/>
      </c>
      <c r="X35" s="12">
        <f>IF(AND(J35="cerrado",U35=TRUE),50,0)</f>
        <v/>
      </c>
      <c r="Y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10">
        <f>IFERROR(VLOOKUP(G36,Parejas!A:F,2,FALSE),"")</f>
        <v/>
      </c>
      <c r="I36" s="10">
        <f>IFERROR(VLOOKUP(G36,Parejas!A:F,3,FALSE),"")</f>
        <v/>
      </c>
      <c r="J36" s="6" t="n"/>
      <c r="K36" s="11" t="n"/>
      <c r="L36" s="6" t="n"/>
      <c r="M36" s="6" t="n"/>
      <c r="N36" s="6" t="n"/>
      <c r="O36" s="11" t="n"/>
      <c r="P36" s="10">
        <f>IF(AND(L36&lt;&gt;"",M36&lt;&gt;"",N36&lt;&gt;"",O36&lt;&gt;""),"✅","❌")</f>
        <v/>
      </c>
      <c r="Q36" s="6" t="n"/>
      <c r="R36" s="12">
        <f>IFERROR(VLOOKUP(Q36,Productos!B:F,2,FALSE),"")</f>
        <v/>
      </c>
      <c r="S36" s="12">
        <f>IFERROR(VLOOKUP(Q36,Productos!B:F,4,FALSE),"")</f>
        <v/>
      </c>
      <c r="T36" s="9" t="n"/>
      <c r="U36" s="6" t="n"/>
      <c r="V36" s="12">
        <f>IFERROR(IF(J36="cerrado",S36*VLOOKUP(G36,Parejas!A:E,4,FALSE),0),0)</f>
        <v/>
      </c>
      <c r="W36" s="12">
        <f>IFERROR(IF(J36="cerrado",S36*VLOOKUP(G36,Parejas!A:E,5,FALSE),0),0)</f>
        <v/>
      </c>
      <c r="X36" s="12">
        <f>IF(AND(J36="cerrado",U36=TRUE),50,0)</f>
        <v/>
      </c>
      <c r="Y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10">
        <f>IFERROR(VLOOKUP(G37,Parejas!A:F,2,FALSE),"")</f>
        <v/>
      </c>
      <c r="I37" s="10">
        <f>IFERROR(VLOOKUP(G37,Parejas!A:F,3,FALSE),"")</f>
        <v/>
      </c>
      <c r="J37" s="6" t="n"/>
      <c r="K37" s="11" t="n"/>
      <c r="L37" s="6" t="n"/>
      <c r="M37" s="6" t="n"/>
      <c r="N37" s="6" t="n"/>
      <c r="O37" s="11" t="n"/>
      <c r="P37" s="10">
        <f>IF(AND(L37&lt;&gt;"",M37&lt;&gt;"",N37&lt;&gt;"",O37&lt;&gt;""),"✅","❌")</f>
        <v/>
      </c>
      <c r="Q37" s="6" t="n"/>
      <c r="R37" s="12">
        <f>IFERROR(VLOOKUP(Q37,Productos!B:F,2,FALSE),"")</f>
        <v/>
      </c>
      <c r="S37" s="12">
        <f>IFERROR(VLOOKUP(Q37,Productos!B:F,4,FALSE),"")</f>
        <v/>
      </c>
      <c r="T37" s="9" t="n"/>
      <c r="U37" s="6" t="n"/>
      <c r="V37" s="12">
        <f>IFERROR(IF(J37="cerrado",S37*VLOOKUP(G37,Parejas!A:E,4,FALSE),0),0)</f>
        <v/>
      </c>
      <c r="W37" s="12">
        <f>IFERROR(IF(J37="cerrado",S37*VLOOKUP(G37,Parejas!A:E,5,FALSE),0),0)</f>
        <v/>
      </c>
      <c r="X37" s="12">
        <f>IF(AND(J37="cerrado",U37=TRUE),50,0)</f>
        <v/>
      </c>
      <c r="Y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10">
        <f>IFERROR(VLOOKUP(G38,Parejas!A:F,2,FALSE),"")</f>
        <v/>
      </c>
      <c r="I38" s="10">
        <f>IFERROR(VLOOKUP(G38,Parejas!A:F,3,FALSE),"")</f>
        <v/>
      </c>
      <c r="J38" s="6" t="n"/>
      <c r="K38" s="11" t="n"/>
      <c r="L38" s="6" t="n"/>
      <c r="M38" s="6" t="n"/>
      <c r="N38" s="6" t="n"/>
      <c r="O38" s="11" t="n"/>
      <c r="P38" s="10">
        <f>IF(AND(L38&lt;&gt;"",M38&lt;&gt;"",N38&lt;&gt;"",O38&lt;&gt;""),"✅","❌")</f>
        <v/>
      </c>
      <c r="Q38" s="6" t="n"/>
      <c r="R38" s="12">
        <f>IFERROR(VLOOKUP(Q38,Productos!B:F,2,FALSE),"")</f>
        <v/>
      </c>
      <c r="S38" s="12">
        <f>IFERROR(VLOOKUP(Q38,Productos!B:F,4,FALSE),"")</f>
        <v/>
      </c>
      <c r="T38" s="9" t="n"/>
      <c r="U38" s="6" t="n"/>
      <c r="V38" s="12">
        <f>IFERROR(IF(J38="cerrado",S38*VLOOKUP(G38,Parejas!A:E,4,FALSE),0),0)</f>
        <v/>
      </c>
      <c r="W38" s="12">
        <f>IFERROR(IF(J38="cerrado",S38*VLOOKUP(G38,Parejas!A:E,5,FALSE),0),0)</f>
        <v/>
      </c>
      <c r="X38" s="12">
        <f>IF(AND(J38="cerrado",U38=TRUE),50,0)</f>
        <v/>
      </c>
      <c r="Y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10">
        <f>IFERROR(VLOOKUP(G39,Parejas!A:F,2,FALSE),"")</f>
        <v/>
      </c>
      <c r="I39" s="10">
        <f>IFERROR(VLOOKUP(G39,Parejas!A:F,3,FALSE),"")</f>
        <v/>
      </c>
      <c r="J39" s="6" t="n"/>
      <c r="K39" s="11" t="n"/>
      <c r="L39" s="6" t="n"/>
      <c r="M39" s="6" t="n"/>
      <c r="N39" s="6" t="n"/>
      <c r="O39" s="11" t="n"/>
      <c r="P39" s="10">
        <f>IF(AND(L39&lt;&gt;"",M39&lt;&gt;"",N39&lt;&gt;"",O39&lt;&gt;""),"✅","❌")</f>
        <v/>
      </c>
      <c r="Q39" s="6" t="n"/>
      <c r="R39" s="12">
        <f>IFERROR(VLOOKUP(Q39,Productos!B:F,2,FALSE),"")</f>
        <v/>
      </c>
      <c r="S39" s="12">
        <f>IFERROR(VLOOKUP(Q39,Productos!B:F,4,FALSE),"")</f>
        <v/>
      </c>
      <c r="T39" s="9" t="n"/>
      <c r="U39" s="6" t="n"/>
      <c r="V39" s="12">
        <f>IFERROR(IF(J39="cerrado",S39*VLOOKUP(G39,Parejas!A:E,4,FALSE),0),0)</f>
        <v/>
      </c>
      <c r="W39" s="12">
        <f>IFERROR(IF(J39="cerrado",S39*VLOOKUP(G39,Parejas!A:E,5,FALSE),0),0)</f>
        <v/>
      </c>
      <c r="X39" s="12">
        <f>IF(AND(J39="cerrado",U39=TRUE),50,0)</f>
        <v/>
      </c>
      <c r="Y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10">
        <f>IFERROR(VLOOKUP(G40,Parejas!A:F,2,FALSE),"")</f>
        <v/>
      </c>
      <c r="I40" s="10">
        <f>IFERROR(VLOOKUP(G40,Parejas!A:F,3,FALSE),"")</f>
        <v/>
      </c>
      <c r="J40" s="6" t="n"/>
      <c r="K40" s="11" t="n"/>
      <c r="L40" s="6" t="n"/>
      <c r="M40" s="6" t="n"/>
      <c r="N40" s="6" t="n"/>
      <c r="O40" s="11" t="n"/>
      <c r="P40" s="10">
        <f>IF(AND(L40&lt;&gt;"",M40&lt;&gt;"",N40&lt;&gt;"",O40&lt;&gt;""),"✅","❌")</f>
        <v/>
      </c>
      <c r="Q40" s="6" t="n"/>
      <c r="R40" s="12">
        <f>IFERROR(VLOOKUP(Q40,Productos!B:F,2,FALSE),"")</f>
        <v/>
      </c>
      <c r="S40" s="12">
        <f>IFERROR(VLOOKUP(Q40,Productos!B:F,4,FALSE),"")</f>
        <v/>
      </c>
      <c r="T40" s="9" t="n"/>
      <c r="U40" s="6" t="n"/>
      <c r="V40" s="12">
        <f>IFERROR(IF(J40="cerrado",S40*VLOOKUP(G40,Parejas!A:E,4,FALSE),0),0)</f>
        <v/>
      </c>
      <c r="W40" s="12">
        <f>IFERROR(IF(J40="cerrado",S40*VLOOKUP(G40,Parejas!A:E,5,FALSE),0),0)</f>
        <v/>
      </c>
      <c r="X40" s="12">
        <f>IF(AND(J40="cerrado",U40=TRUE),50,0)</f>
        <v/>
      </c>
      <c r="Y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10">
        <f>IFERROR(VLOOKUP(G41,Parejas!A:F,2,FALSE),"")</f>
        <v/>
      </c>
      <c r="I41" s="10">
        <f>IFERROR(VLOOKUP(G41,Parejas!A:F,3,FALSE),"")</f>
        <v/>
      </c>
      <c r="J41" s="6" t="n"/>
      <c r="K41" s="11" t="n"/>
      <c r="L41" s="6" t="n"/>
      <c r="M41" s="6" t="n"/>
      <c r="N41" s="6" t="n"/>
      <c r="O41" s="11" t="n"/>
      <c r="P41" s="10">
        <f>IF(AND(L41&lt;&gt;"",M41&lt;&gt;"",N41&lt;&gt;"",O41&lt;&gt;""),"✅","❌")</f>
        <v/>
      </c>
      <c r="Q41" s="6" t="n"/>
      <c r="R41" s="12">
        <f>IFERROR(VLOOKUP(Q41,Productos!B:F,2,FALSE),"")</f>
        <v/>
      </c>
      <c r="S41" s="12">
        <f>IFERROR(VLOOKUP(Q41,Productos!B:F,4,FALSE),"")</f>
        <v/>
      </c>
      <c r="T41" s="9" t="n"/>
      <c r="U41" s="6" t="n"/>
      <c r="V41" s="12">
        <f>IFERROR(IF(J41="cerrado",S41*VLOOKUP(G41,Parejas!A:E,4,FALSE),0),0)</f>
        <v/>
      </c>
      <c r="W41" s="12">
        <f>IFERROR(IF(J41="cerrado",S41*VLOOKUP(G41,Parejas!A:E,5,FALSE),0),0)</f>
        <v/>
      </c>
      <c r="X41" s="12">
        <f>IF(AND(J41="cerrado",U41=TRUE),50,0)</f>
        <v/>
      </c>
      <c r="Y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10">
        <f>IFERROR(VLOOKUP(G42,Parejas!A:F,2,FALSE),"")</f>
        <v/>
      </c>
      <c r="I42" s="10">
        <f>IFERROR(VLOOKUP(G42,Parejas!A:F,3,FALSE),"")</f>
        <v/>
      </c>
      <c r="J42" s="6" t="n"/>
      <c r="K42" s="11" t="n"/>
      <c r="L42" s="6" t="n"/>
      <c r="M42" s="6" t="n"/>
      <c r="N42" s="6" t="n"/>
      <c r="O42" s="11" t="n"/>
      <c r="P42" s="10">
        <f>IF(AND(L42&lt;&gt;"",M42&lt;&gt;"",N42&lt;&gt;"",O42&lt;&gt;""),"✅","❌")</f>
        <v/>
      </c>
      <c r="Q42" s="6" t="n"/>
      <c r="R42" s="12">
        <f>IFERROR(VLOOKUP(Q42,Productos!B:F,2,FALSE),"")</f>
        <v/>
      </c>
      <c r="S42" s="12">
        <f>IFERROR(VLOOKUP(Q42,Productos!B:F,4,FALSE),"")</f>
        <v/>
      </c>
      <c r="T42" s="9" t="n"/>
      <c r="U42" s="6" t="n"/>
      <c r="V42" s="12">
        <f>IFERROR(IF(J42="cerrado",S42*VLOOKUP(G42,Parejas!A:E,4,FALSE),0),0)</f>
        <v/>
      </c>
      <c r="W42" s="12">
        <f>IFERROR(IF(J42="cerrado",S42*VLOOKUP(G42,Parejas!A:E,5,FALSE),0),0)</f>
        <v/>
      </c>
      <c r="X42" s="12">
        <f>IF(AND(J42="cerrado",U42=TRUE),50,0)</f>
        <v/>
      </c>
      <c r="Y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10">
        <f>IFERROR(VLOOKUP(G43,Parejas!A:F,2,FALSE),"")</f>
        <v/>
      </c>
      <c r="I43" s="10">
        <f>IFERROR(VLOOKUP(G43,Parejas!A:F,3,FALSE),"")</f>
        <v/>
      </c>
      <c r="J43" s="6" t="n"/>
      <c r="K43" s="11" t="n"/>
      <c r="L43" s="6" t="n"/>
      <c r="M43" s="6" t="n"/>
      <c r="N43" s="6" t="n"/>
      <c r="O43" s="11" t="n"/>
      <c r="P43" s="10">
        <f>IF(AND(L43&lt;&gt;"",M43&lt;&gt;"",N43&lt;&gt;"",O43&lt;&gt;""),"✅","❌")</f>
        <v/>
      </c>
      <c r="Q43" s="6" t="n"/>
      <c r="R43" s="12">
        <f>IFERROR(VLOOKUP(Q43,Productos!B:F,2,FALSE),"")</f>
        <v/>
      </c>
      <c r="S43" s="12">
        <f>IFERROR(VLOOKUP(Q43,Productos!B:F,4,FALSE),"")</f>
        <v/>
      </c>
      <c r="T43" s="9" t="n"/>
      <c r="U43" s="6" t="n"/>
      <c r="V43" s="12">
        <f>IFERROR(IF(J43="cerrado",S43*VLOOKUP(G43,Parejas!A:E,4,FALSE),0),0)</f>
        <v/>
      </c>
      <c r="W43" s="12">
        <f>IFERROR(IF(J43="cerrado",S43*VLOOKUP(G43,Parejas!A:E,5,FALSE),0),0)</f>
        <v/>
      </c>
      <c r="X43" s="12">
        <f>IF(AND(J43="cerrado",U43=TRUE),50,0)</f>
        <v/>
      </c>
      <c r="Y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10">
        <f>IFERROR(VLOOKUP(G44,Parejas!A:F,2,FALSE),"")</f>
        <v/>
      </c>
      <c r="I44" s="10">
        <f>IFERROR(VLOOKUP(G44,Parejas!A:F,3,FALSE),"")</f>
        <v/>
      </c>
      <c r="J44" s="6" t="n"/>
      <c r="K44" s="11" t="n"/>
      <c r="L44" s="6" t="n"/>
      <c r="M44" s="6" t="n"/>
      <c r="N44" s="6" t="n"/>
      <c r="O44" s="11" t="n"/>
      <c r="P44" s="10">
        <f>IF(AND(L44&lt;&gt;"",M44&lt;&gt;"",N44&lt;&gt;"",O44&lt;&gt;""),"✅","❌")</f>
        <v/>
      </c>
      <c r="Q44" s="6" t="n"/>
      <c r="R44" s="12">
        <f>IFERROR(VLOOKUP(Q44,Productos!B:F,2,FALSE),"")</f>
        <v/>
      </c>
      <c r="S44" s="12">
        <f>IFERROR(VLOOKUP(Q44,Productos!B:F,4,FALSE),"")</f>
        <v/>
      </c>
      <c r="T44" s="9" t="n"/>
      <c r="U44" s="6" t="n"/>
      <c r="V44" s="12">
        <f>IFERROR(IF(J44="cerrado",S44*VLOOKUP(G44,Parejas!A:E,4,FALSE),0),0)</f>
        <v/>
      </c>
      <c r="W44" s="12">
        <f>IFERROR(IF(J44="cerrado",S44*VLOOKUP(G44,Parejas!A:E,5,FALSE),0),0)</f>
        <v/>
      </c>
      <c r="X44" s="12">
        <f>IF(AND(J44="cerrado",U44=TRUE),50,0)</f>
        <v/>
      </c>
      <c r="Y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10">
        <f>IFERROR(VLOOKUP(G45,Parejas!A:F,2,FALSE),"")</f>
        <v/>
      </c>
      <c r="I45" s="10">
        <f>IFERROR(VLOOKUP(G45,Parejas!A:F,3,FALSE),"")</f>
        <v/>
      </c>
      <c r="J45" s="6" t="n"/>
      <c r="K45" s="11" t="n"/>
      <c r="L45" s="6" t="n"/>
      <c r="M45" s="6" t="n"/>
      <c r="N45" s="6" t="n"/>
      <c r="O45" s="11" t="n"/>
      <c r="P45" s="10">
        <f>IF(AND(L45&lt;&gt;"",M45&lt;&gt;"",N45&lt;&gt;"",O45&lt;&gt;""),"✅","❌")</f>
        <v/>
      </c>
      <c r="Q45" s="6" t="n"/>
      <c r="R45" s="12">
        <f>IFERROR(VLOOKUP(Q45,Productos!B:F,2,FALSE),"")</f>
        <v/>
      </c>
      <c r="S45" s="12">
        <f>IFERROR(VLOOKUP(Q45,Productos!B:F,4,FALSE),"")</f>
        <v/>
      </c>
      <c r="T45" s="9" t="n"/>
      <c r="U45" s="6" t="n"/>
      <c r="V45" s="12">
        <f>IFERROR(IF(J45="cerrado",S45*VLOOKUP(G45,Parejas!A:E,4,FALSE),0),0)</f>
        <v/>
      </c>
      <c r="W45" s="12">
        <f>IFERROR(IF(J45="cerrado",S45*VLOOKUP(G45,Parejas!A:E,5,FALSE),0),0)</f>
        <v/>
      </c>
      <c r="X45" s="12">
        <f>IF(AND(J45="cerrado",U45=TRUE),50,0)</f>
        <v/>
      </c>
      <c r="Y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10">
        <f>IFERROR(VLOOKUP(G46,Parejas!A:F,2,FALSE),"")</f>
        <v/>
      </c>
      <c r="I46" s="10">
        <f>IFERROR(VLOOKUP(G46,Parejas!A:F,3,FALSE),"")</f>
        <v/>
      </c>
      <c r="J46" s="6" t="n"/>
      <c r="K46" s="11" t="n"/>
      <c r="L46" s="6" t="n"/>
      <c r="M46" s="6" t="n"/>
      <c r="N46" s="6" t="n"/>
      <c r="O46" s="11" t="n"/>
      <c r="P46" s="10">
        <f>IF(AND(L46&lt;&gt;"",M46&lt;&gt;"",N46&lt;&gt;"",O46&lt;&gt;""),"✅","❌")</f>
        <v/>
      </c>
      <c r="Q46" s="6" t="n"/>
      <c r="R46" s="12">
        <f>IFERROR(VLOOKUP(Q46,Productos!B:F,2,FALSE),"")</f>
        <v/>
      </c>
      <c r="S46" s="12">
        <f>IFERROR(VLOOKUP(Q46,Productos!B:F,4,FALSE),"")</f>
        <v/>
      </c>
      <c r="T46" s="9" t="n"/>
      <c r="U46" s="6" t="n"/>
      <c r="V46" s="12">
        <f>IFERROR(IF(J46="cerrado",S46*VLOOKUP(G46,Parejas!A:E,4,FALSE),0),0)</f>
        <v/>
      </c>
      <c r="W46" s="12">
        <f>IFERROR(IF(J46="cerrado",S46*VLOOKUP(G46,Parejas!A:E,5,FALSE),0),0)</f>
        <v/>
      </c>
      <c r="X46" s="12">
        <f>IF(AND(J46="cerrado",U46=TRUE),50,0)</f>
        <v/>
      </c>
      <c r="Y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10">
        <f>IFERROR(VLOOKUP(G47,Parejas!A:F,2,FALSE),"")</f>
        <v/>
      </c>
      <c r="I47" s="10">
        <f>IFERROR(VLOOKUP(G47,Parejas!A:F,3,FALSE),"")</f>
        <v/>
      </c>
      <c r="J47" s="6" t="n"/>
      <c r="K47" s="11" t="n"/>
      <c r="L47" s="6" t="n"/>
      <c r="M47" s="6" t="n"/>
      <c r="N47" s="6" t="n"/>
      <c r="O47" s="11" t="n"/>
      <c r="P47" s="10">
        <f>IF(AND(L47&lt;&gt;"",M47&lt;&gt;"",N47&lt;&gt;"",O47&lt;&gt;""),"✅","❌")</f>
        <v/>
      </c>
      <c r="Q47" s="6" t="n"/>
      <c r="R47" s="12">
        <f>IFERROR(VLOOKUP(Q47,Productos!B:F,2,FALSE),"")</f>
        <v/>
      </c>
      <c r="S47" s="12">
        <f>IFERROR(VLOOKUP(Q47,Productos!B:F,4,FALSE),"")</f>
        <v/>
      </c>
      <c r="T47" s="9" t="n"/>
      <c r="U47" s="6" t="n"/>
      <c r="V47" s="12">
        <f>IFERROR(IF(J47="cerrado",S47*VLOOKUP(G47,Parejas!A:E,4,FALSE),0),0)</f>
        <v/>
      </c>
      <c r="W47" s="12">
        <f>IFERROR(IF(J47="cerrado",S47*VLOOKUP(G47,Parejas!A:E,5,FALSE),0),0)</f>
        <v/>
      </c>
      <c r="X47" s="12">
        <f>IF(AND(J47="cerrado",U47=TRUE),50,0)</f>
        <v/>
      </c>
      <c r="Y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10">
        <f>IFERROR(VLOOKUP(G48,Parejas!A:F,2,FALSE),"")</f>
        <v/>
      </c>
      <c r="I48" s="10">
        <f>IFERROR(VLOOKUP(G48,Parejas!A:F,3,FALSE),"")</f>
        <v/>
      </c>
      <c r="J48" s="6" t="n"/>
      <c r="K48" s="11" t="n"/>
      <c r="L48" s="6" t="n"/>
      <c r="M48" s="6" t="n"/>
      <c r="N48" s="6" t="n"/>
      <c r="O48" s="11" t="n"/>
      <c r="P48" s="10">
        <f>IF(AND(L48&lt;&gt;"",M48&lt;&gt;"",N48&lt;&gt;"",O48&lt;&gt;""),"✅","❌")</f>
        <v/>
      </c>
      <c r="Q48" s="6" t="n"/>
      <c r="R48" s="12">
        <f>IFERROR(VLOOKUP(Q48,Productos!B:F,2,FALSE),"")</f>
        <v/>
      </c>
      <c r="S48" s="12">
        <f>IFERROR(VLOOKUP(Q48,Productos!B:F,4,FALSE),"")</f>
        <v/>
      </c>
      <c r="T48" s="9" t="n"/>
      <c r="U48" s="6" t="n"/>
      <c r="V48" s="12">
        <f>IFERROR(IF(J48="cerrado",S48*VLOOKUP(G48,Parejas!A:E,4,FALSE),0),0)</f>
        <v/>
      </c>
      <c r="W48" s="12">
        <f>IFERROR(IF(J48="cerrado",S48*VLOOKUP(G48,Parejas!A:E,5,FALSE),0),0)</f>
        <v/>
      </c>
      <c r="X48" s="12">
        <f>IF(AND(J48="cerrado",U48=TRUE),50,0)</f>
        <v/>
      </c>
      <c r="Y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10">
        <f>IFERROR(VLOOKUP(G49,Parejas!A:F,2,FALSE),"")</f>
        <v/>
      </c>
      <c r="I49" s="10">
        <f>IFERROR(VLOOKUP(G49,Parejas!A:F,3,FALSE),"")</f>
        <v/>
      </c>
      <c r="J49" s="6" t="n"/>
      <c r="K49" s="11" t="n"/>
      <c r="L49" s="6" t="n"/>
      <c r="M49" s="6" t="n"/>
      <c r="N49" s="6" t="n"/>
      <c r="O49" s="11" t="n"/>
      <c r="P49" s="10">
        <f>IF(AND(L49&lt;&gt;"",M49&lt;&gt;"",N49&lt;&gt;"",O49&lt;&gt;""),"✅","❌")</f>
        <v/>
      </c>
      <c r="Q49" s="6" t="n"/>
      <c r="R49" s="12">
        <f>IFERROR(VLOOKUP(Q49,Productos!B:F,2,FALSE),"")</f>
        <v/>
      </c>
      <c r="S49" s="12">
        <f>IFERROR(VLOOKUP(Q49,Productos!B:F,4,FALSE),"")</f>
        <v/>
      </c>
      <c r="T49" s="9" t="n"/>
      <c r="U49" s="6" t="n"/>
      <c r="V49" s="12">
        <f>IFERROR(IF(J49="cerrado",S49*VLOOKUP(G49,Parejas!A:E,4,FALSE),0),0)</f>
        <v/>
      </c>
      <c r="W49" s="12">
        <f>IFERROR(IF(J49="cerrado",S49*VLOOKUP(G49,Parejas!A:E,5,FALSE),0),0)</f>
        <v/>
      </c>
      <c r="X49" s="12">
        <f>IF(AND(J49="cerrado",U49=TRUE),50,0)</f>
        <v/>
      </c>
      <c r="Y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10">
        <f>IFERROR(VLOOKUP(G50,Parejas!A:F,2,FALSE),"")</f>
        <v/>
      </c>
      <c r="I50" s="10">
        <f>IFERROR(VLOOKUP(G50,Parejas!A:F,3,FALSE),"")</f>
        <v/>
      </c>
      <c r="J50" s="6" t="n"/>
      <c r="K50" s="11" t="n"/>
      <c r="L50" s="6" t="n"/>
      <c r="M50" s="6" t="n"/>
      <c r="N50" s="6" t="n"/>
      <c r="O50" s="11" t="n"/>
      <c r="P50" s="10">
        <f>IF(AND(L50&lt;&gt;"",M50&lt;&gt;"",N50&lt;&gt;"",O50&lt;&gt;""),"✅","❌")</f>
        <v/>
      </c>
      <c r="Q50" s="6" t="n"/>
      <c r="R50" s="12">
        <f>IFERROR(VLOOKUP(Q50,Productos!B:F,2,FALSE),"")</f>
        <v/>
      </c>
      <c r="S50" s="12">
        <f>IFERROR(VLOOKUP(Q50,Productos!B:F,4,FALSE),"")</f>
        <v/>
      </c>
      <c r="T50" s="9" t="n"/>
      <c r="U50" s="6" t="n"/>
      <c r="V50" s="12">
        <f>IFERROR(IF(J50="cerrado",S50*VLOOKUP(G50,Parejas!A:E,4,FALSE),0),0)</f>
        <v/>
      </c>
      <c r="W50" s="12">
        <f>IFERROR(IF(J50="cerrado",S50*VLOOKUP(G50,Parejas!A:E,5,FALSE),0),0)</f>
        <v/>
      </c>
      <c r="X50" s="12">
        <f>IF(AND(J50="cerrado",U50=TRUE),50,0)</f>
        <v/>
      </c>
      <c r="Y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10">
        <f>IFERROR(VLOOKUP(G51,Parejas!A:F,2,FALSE),"")</f>
        <v/>
      </c>
      <c r="I51" s="10">
        <f>IFERROR(VLOOKUP(G51,Parejas!A:F,3,FALSE),"")</f>
        <v/>
      </c>
      <c r="J51" s="6" t="n"/>
      <c r="K51" s="11" t="n"/>
      <c r="L51" s="6" t="n"/>
      <c r="M51" s="6" t="n"/>
      <c r="N51" s="6" t="n"/>
      <c r="O51" s="11" t="n"/>
      <c r="P51" s="10">
        <f>IF(AND(L51&lt;&gt;"",M51&lt;&gt;"",N51&lt;&gt;"",O51&lt;&gt;""),"✅","❌")</f>
        <v/>
      </c>
      <c r="Q51" s="6" t="n"/>
      <c r="R51" s="12">
        <f>IFERROR(VLOOKUP(Q51,Productos!B:F,2,FALSE),"")</f>
        <v/>
      </c>
      <c r="S51" s="12">
        <f>IFERROR(VLOOKUP(Q51,Productos!B:F,4,FALSE),"")</f>
        <v/>
      </c>
      <c r="T51" s="9" t="n"/>
      <c r="U51" s="6" t="n"/>
      <c r="V51" s="12">
        <f>IFERROR(IF(J51="cerrado",S51*VLOOKUP(G51,Parejas!A:E,4,FALSE),0),0)</f>
        <v/>
      </c>
      <c r="W51" s="12">
        <f>IFERROR(IF(J51="cerrado",S51*VLOOKUP(G51,Parejas!A:E,5,FALSE),0),0)</f>
        <v/>
      </c>
      <c r="X51" s="12">
        <f>IF(AND(J51="cerrado",U51=TRUE),50,0)</f>
        <v/>
      </c>
      <c r="Y51" s="6" t="n"/>
    </row>
  </sheetData>
  <conditionalFormatting sqref="P2:P51">
    <cfRule type="expression" priority="1" dxfId="0">
      <formula>P2="✅"</formula>
    </cfRule>
    <cfRule type="expression" priority="2" dxfId="1">
      <formula>P2="❌"</formula>
    </cfRule>
  </conditionalFormatting>
  <dataValidations count="4">
    <dataValidation sqref="J2:J51" showDropDown="0" showInputMessage="0" showErrorMessage="0" allowBlank="0" type="list">
      <formula1>"frio,contactado,cita agendada,presentado,cerrado,perdido"</formula1>
    </dataValidation>
    <dataValidation sqref="G2:G51" showDropDown="0" showInputMessage="0" showErrorMessage="0" allowBlank="0" type="list">
      <formula1>"Lucia-Diego,Marta-Sara,Jose,Jose-asistido"</formula1>
    </dataValidation>
    <dataValidation sqref="Q2:Q51" showDropDown="0" showInputMessage="0" showErrorMessage="0" allowBlank="1" type="list">
      <formula1>"Automatización Informes,Chatbot IA,Pack Premium"</formula1>
    </dataValidation>
    <dataValidation sqref="U2:U5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1" customWidth="1" min="6" max="6"/>
    <col width="11" customWidth="1" min="7" max="7"/>
    <col width="14" customWidth="1" min="8" max="8"/>
    <col width="14" customWidth="1" min="9" max="9"/>
    <col width="16" customWidth="1" min="10" max="10"/>
    <col width="13" customWidth="1" min="11" max="11"/>
    <col width="14" customWidth="1" min="12" max="12"/>
    <col width="14" customWidth="1" min="13" max="13"/>
  </cols>
  <sheetData>
    <row r="1">
      <c r="A1" s="1" t="inlineStr">
        <is>
          <t>Ranking semanal por setter y lote</t>
        </is>
      </c>
    </row>
    <row r="2">
      <c r="A2" s="13" t="inlineStr">
        <is>
          <t>Cambia el lote en B4 para filtrar. Las métricas se recalculan solas.</t>
        </is>
      </c>
    </row>
    <row r="4">
      <c r="A4" s="4" t="inlineStr">
        <is>
          <t>Lote a analizar:</t>
        </is>
      </c>
      <c r="B4" s="14" t="n">
        <v>1</v>
      </c>
    </row>
    <row r="6">
      <c r="A6" s="7" t="inlineStr">
        <is>
          <t>Setter</t>
        </is>
      </c>
      <c r="B6" s="7" t="inlineStr">
        <is>
          <t>Total leads</t>
        </is>
      </c>
      <c r="C6" s="7" t="inlineStr">
        <is>
          <t>Contactados</t>
        </is>
      </c>
      <c r="D6" s="7" t="inlineStr">
        <is>
          <t>Agendados</t>
        </is>
      </c>
      <c r="E6" s="7" t="inlineStr">
        <is>
          <t>Presentados</t>
        </is>
      </c>
      <c r="F6" s="7" t="inlineStr">
        <is>
          <t>Cerrados</t>
        </is>
      </c>
      <c r="G6" s="7" t="inlineStr">
        <is>
          <t>Perdidos</t>
        </is>
      </c>
      <c r="H6" s="7" t="inlineStr">
        <is>
          <t>Tasa contacto</t>
        </is>
      </c>
      <c r="I6" s="7" t="inlineStr">
        <is>
          <t>Tasa agendado</t>
        </is>
      </c>
      <c r="J6" s="7" t="inlineStr">
        <is>
          <t>Tasa presentación</t>
        </is>
      </c>
      <c r="K6" s="7" t="inlineStr">
        <is>
          <t>Tasa cierre</t>
        </is>
      </c>
      <c r="L6" s="7" t="inlineStr">
        <is>
          <t>€ facturado</t>
        </is>
      </c>
      <c r="M6" s="7" t="inlineStr">
        <is>
          <t>€ comisión</t>
        </is>
      </c>
    </row>
    <row r="7">
      <c r="A7" s="15" t="inlineStr">
        <is>
          <t>Lucía</t>
        </is>
      </c>
      <c r="B7" s="6">
        <f>COUNTIFS(Leads!H:H,A7,Leads!F:F,$B$4)</f>
        <v/>
      </c>
      <c r="C7" s="6">
        <f>COUNTIFS(Leads!H:H,A7,Leads!F:F,$B$4,Leads!J:J,"&lt;&gt;frio")</f>
        <v/>
      </c>
      <c r="D7" s="6">
        <f>COUNTIFS(Leads!H:H,A7,Leads!F:F,$B$4,Leads!J:J,"cita agendada")+COUNTIFS(Leads!H:H,A7,Leads!F:F,$B$4,Leads!J:J,"presentado")+COUNTIFS(Leads!H:H,A7,Leads!F:F,$B$4,Leads!J:J,"cerrado")</f>
        <v/>
      </c>
      <c r="E7" s="6">
        <f>COUNTIFS(Leads!H:H,A7,Leads!F:F,$B$4,Leads!J:J,"presentado")+COUNTIFS(Leads!H:H,A7,Leads!F:F,$B$4,Leads!J:J,"cerrado")</f>
        <v/>
      </c>
      <c r="F7" s="6">
        <f>COUNTIFS(Leads!H:H,A7,Leads!F:F,$B$4,Leads!J:J,"cerrado")</f>
        <v/>
      </c>
      <c r="G7" s="6">
        <f>COUNTIFS(Leads!H:H,A7,Leads!F:F,$B$4,Leads!J:J,"perdido")</f>
        <v/>
      </c>
      <c r="H7" s="8">
        <f>IFERROR(C7/B7,0)</f>
        <v/>
      </c>
      <c r="I7" s="8">
        <f>IFERROR(D7/C7,0)</f>
        <v/>
      </c>
      <c r="J7" s="8">
        <f>IFERROR(E7/D7,0)</f>
        <v/>
      </c>
      <c r="K7" s="8">
        <f>IFERROR(F7/E7,0)</f>
        <v/>
      </c>
      <c r="L7" s="9">
        <f>SUMIFS(Leads!T:T,Leads!H:H,A7,Leads!F:F,$B$4)</f>
        <v/>
      </c>
      <c r="M7" s="9">
        <f>SUMIFS(Leads!V:V,Leads!H:H,A7,Leads!F:F,$B$4)</f>
        <v/>
      </c>
    </row>
    <row r="8">
      <c r="A8" s="15" t="inlineStr">
        <is>
          <t>Marta</t>
        </is>
      </c>
      <c r="B8" s="6">
        <f>COUNTIFS(Leads!H:H,A8,Leads!F:F,$B$4)</f>
        <v/>
      </c>
      <c r="C8" s="6">
        <f>COUNTIFS(Leads!H:H,A8,Leads!F:F,$B$4,Leads!J:J,"&lt;&gt;frio")</f>
        <v/>
      </c>
      <c r="D8" s="6">
        <f>COUNTIFS(Leads!H:H,A8,Leads!F:F,$B$4,Leads!J:J,"cita agendada")+COUNTIFS(Leads!H:H,A8,Leads!F:F,$B$4,Leads!J:J,"presentado")+COUNTIFS(Leads!H:H,A8,Leads!F:F,$B$4,Leads!J:J,"cerrado")</f>
        <v/>
      </c>
      <c r="E8" s="6">
        <f>COUNTIFS(Leads!H:H,A8,Leads!F:F,$B$4,Leads!J:J,"presentado")+COUNTIFS(Leads!H:H,A8,Leads!F:F,$B$4,Leads!J:J,"cerrado")</f>
        <v/>
      </c>
      <c r="F8" s="6">
        <f>COUNTIFS(Leads!H:H,A8,Leads!F:F,$B$4,Leads!J:J,"cerrado")</f>
        <v/>
      </c>
      <c r="G8" s="6">
        <f>COUNTIFS(Leads!H:H,A8,Leads!F:F,$B$4,Leads!J:J,"perdido")</f>
        <v/>
      </c>
      <c r="H8" s="8">
        <f>IFERROR(C8/B8,0)</f>
        <v/>
      </c>
      <c r="I8" s="8">
        <f>IFERROR(D8/C8,0)</f>
        <v/>
      </c>
      <c r="J8" s="8">
        <f>IFERROR(E8/D8,0)</f>
        <v/>
      </c>
      <c r="K8" s="8">
        <f>IFERROR(F8/E8,0)</f>
        <v/>
      </c>
      <c r="L8" s="9">
        <f>SUMIFS(Leads!T:T,Leads!H:H,A8,Leads!F:F,$B$4)</f>
        <v/>
      </c>
      <c r="M8" s="9">
        <f>SUMIFS(Leads!V:V,Leads!H:H,A8,Leads!F:F,$B$4)</f>
        <v/>
      </c>
    </row>
    <row r="9">
      <c r="A9" s="15" t="inlineStr">
        <is>
          <t>José</t>
        </is>
      </c>
      <c r="B9" s="6">
        <f>COUNTIFS(Leads!H:H,A9,Leads!F:F,$B$4)</f>
        <v/>
      </c>
      <c r="C9" s="6">
        <f>COUNTIFS(Leads!H:H,A9,Leads!F:F,$B$4,Leads!J:J,"&lt;&gt;frio")</f>
        <v/>
      </c>
      <c r="D9" s="6">
        <f>COUNTIFS(Leads!H:H,A9,Leads!F:F,$B$4,Leads!J:J,"cita agendada")+COUNTIFS(Leads!H:H,A9,Leads!F:F,$B$4,Leads!J:J,"presentado")+COUNTIFS(Leads!H:H,A9,Leads!F:F,$B$4,Leads!J:J,"cerrado")</f>
        <v/>
      </c>
      <c r="E9" s="6">
        <f>COUNTIFS(Leads!H:H,A9,Leads!F:F,$B$4,Leads!J:J,"presentado")+COUNTIFS(Leads!H:H,A9,Leads!F:F,$B$4,Leads!J:J,"cerrado")</f>
        <v/>
      </c>
      <c r="F9" s="6">
        <f>COUNTIFS(Leads!H:H,A9,Leads!F:F,$B$4,Leads!J:J,"cerrado")</f>
        <v/>
      </c>
      <c r="G9" s="6">
        <f>COUNTIFS(Leads!H:H,A9,Leads!F:F,$B$4,Leads!J:J,"perdido")</f>
        <v/>
      </c>
      <c r="H9" s="8">
        <f>IFERROR(C9/B9,0)</f>
        <v/>
      </c>
      <c r="I9" s="8">
        <f>IFERROR(D9/C9,0)</f>
        <v/>
      </c>
      <c r="J9" s="8">
        <f>IFERROR(E9/D9,0)</f>
        <v/>
      </c>
      <c r="K9" s="8">
        <f>IFERROR(F9/E9,0)</f>
        <v/>
      </c>
      <c r="L9" s="9">
        <f>SUMIFS(Leads!T:T,Leads!H:H,A9,Leads!F:F,$B$4)</f>
        <v/>
      </c>
      <c r="M9" s="9">
        <f>SUMIFS(Leads!V:V,Leads!H:H,A9,Leads!F:F,$B$4)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2" customWidth="1" min="5" max="5"/>
    <col width="14" customWidth="1" min="6" max="6"/>
  </cols>
  <sheetData>
    <row r="1">
      <c r="A1" s="1" t="inlineStr">
        <is>
          <t>Comisiones por persona (todos los lotes)</t>
        </is>
      </c>
    </row>
    <row r="2">
      <c r="A2" s="13" t="inlineStr">
        <is>
          <t>Suma todas las comisiones generadas en Leads, por persona.</t>
        </is>
      </c>
    </row>
    <row r="4">
      <c r="A4" s="7" t="inlineStr">
        <is>
          <t>Persona</t>
        </is>
      </c>
      <c r="B4" s="7" t="inlineStr">
        <is>
          <t>Rol</t>
        </is>
      </c>
      <c r="C4" s="7" t="inlineStr">
        <is>
          <t>€ comisión setter</t>
        </is>
      </c>
      <c r="D4" s="7" t="inlineStr">
        <is>
          <t>€ comisión closer</t>
        </is>
      </c>
      <c r="E4" s="7" t="inlineStr">
        <is>
          <t>€ bonus mantenimiento</t>
        </is>
      </c>
      <c r="F4" s="7" t="inlineStr">
        <is>
          <t>€ TOTAL</t>
        </is>
      </c>
    </row>
    <row r="5">
      <c r="A5" s="15" t="inlineStr">
        <is>
          <t>Lucía</t>
        </is>
      </c>
      <c r="B5" s="6" t="inlineStr">
        <is>
          <t>setter</t>
        </is>
      </c>
      <c r="C5" s="9">
        <f>SUMIF(Leads!H:H,A5,Leads!V:V)</f>
        <v/>
      </c>
      <c r="D5" s="9">
        <f>SUMIF(Leads!I:I,A5,Leads!W:W)</f>
        <v/>
      </c>
      <c r="E5" s="9">
        <f>SUMIF(Leads!I:I,A5,Leads!X:X)</f>
        <v/>
      </c>
      <c r="F5" s="9">
        <f>C5+D5+E5</f>
        <v/>
      </c>
    </row>
    <row r="6">
      <c r="A6" s="15" t="inlineStr">
        <is>
          <t>Marta</t>
        </is>
      </c>
      <c r="B6" s="6" t="inlineStr">
        <is>
          <t>setter</t>
        </is>
      </c>
      <c r="C6" s="9">
        <f>SUMIF(Leads!H:H,A6,Leads!V:V)</f>
        <v/>
      </c>
      <c r="D6" s="9">
        <f>SUMIF(Leads!I:I,A6,Leads!W:W)</f>
        <v/>
      </c>
      <c r="E6" s="9">
        <f>SUMIF(Leads!I:I,A6,Leads!X:X)</f>
        <v/>
      </c>
      <c r="F6" s="9">
        <f>C6+D6+E6</f>
        <v/>
      </c>
    </row>
    <row r="7">
      <c r="A7" s="15" t="inlineStr">
        <is>
          <t>Diego</t>
        </is>
      </c>
      <c r="B7" s="6" t="inlineStr">
        <is>
          <t>closer</t>
        </is>
      </c>
      <c r="C7" s="9">
        <f>SUMIF(Leads!H:H,A7,Leads!V:V)</f>
        <v/>
      </c>
      <c r="D7" s="9">
        <f>SUMIF(Leads!I:I,A7,Leads!W:W)</f>
        <v/>
      </c>
      <c r="E7" s="9">
        <f>SUMIF(Leads!I:I,A7,Leads!X:X)</f>
        <v/>
      </c>
      <c r="F7" s="9">
        <f>C7+D7+E7</f>
        <v/>
      </c>
    </row>
    <row r="8">
      <c r="A8" s="15" t="inlineStr">
        <is>
          <t>Sara</t>
        </is>
      </c>
      <c r="B8" s="6" t="inlineStr">
        <is>
          <t>closer</t>
        </is>
      </c>
      <c r="C8" s="9">
        <f>SUMIF(Leads!H:H,A8,Leads!V:V)</f>
        <v/>
      </c>
      <c r="D8" s="9">
        <f>SUMIF(Leads!I:I,A8,Leads!W:W)</f>
        <v/>
      </c>
      <c r="E8" s="9">
        <f>SUMIF(Leads!I:I,A8,Leads!X:X)</f>
        <v/>
      </c>
      <c r="F8" s="9">
        <f>C8+D8+E8</f>
        <v/>
      </c>
    </row>
    <row r="9">
      <c r="A9" s="15" t="inlineStr">
        <is>
          <t>José</t>
        </is>
      </c>
      <c r="B9" s="6" t="inlineStr">
        <is>
          <t>closer</t>
        </is>
      </c>
      <c r="C9" s="9">
        <f>SUMIF(Leads!H:H,A9,Leads!V:V)</f>
        <v/>
      </c>
      <c r="D9" s="9">
        <f>SUMIF(Leads!I:I,A9,Leads!W:W)</f>
        <v/>
      </c>
      <c r="E9" s="9">
        <f>SUMIF(Leads!I:I,A9,Leads!X:X)</f>
        <v/>
      </c>
      <c r="F9" s="9">
        <f>C9+D9+E9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8" customWidth="1" min="4" max="4"/>
  </cols>
  <sheetData>
    <row r="1">
      <c r="A1" s="1" t="inlineStr">
        <is>
          <t>Reparto round-robin de los 10.000 leads fríos</t>
        </is>
      </c>
    </row>
    <row r="3" ht="50" customHeight="1">
      <c r="A3" s="2" t="inlineStr">
        <is>
          <t>Pega abajo (columna B) la lista de leads fríos. La columna 'Pareja' se rellena sola alternando Lucia-Diego / Marta-Sara / Jose. La columna 'Lote' agrupa en cohortes de 500.</t>
        </is>
      </c>
    </row>
    <row r="5">
      <c r="A5" s="7" t="inlineStr">
        <is>
          <t>#</t>
        </is>
      </c>
      <c r="B5" s="7" t="inlineStr">
        <is>
          <t>Nombre psicólogo</t>
        </is>
      </c>
      <c r="C5" s="7" t="inlineStr">
        <is>
          <t>Pareja</t>
        </is>
      </c>
      <c r="D5" s="7" t="inlineStr">
        <is>
          <t>Lote</t>
        </is>
      </c>
    </row>
    <row r="6">
      <c r="A6" s="6" t="n">
        <v>1</v>
      </c>
      <c r="B6" s="6" t="n"/>
      <c r="C6" s="6">
        <f>IF(B6="","",CHOOSE(MOD(A6-1,3)+1,"Lucia-Diego","Marta-Sara","Jose"))</f>
        <v/>
      </c>
      <c r="D6" s="6">
        <f>IF(B6="","",INT((A6-1)/500)+1)</f>
        <v/>
      </c>
    </row>
    <row r="7">
      <c r="A7" s="6" t="n">
        <v>2</v>
      </c>
      <c r="B7" s="6" t="n"/>
      <c r="C7" s="6">
        <f>IF(B7="","",CHOOSE(MOD(A7-1,3)+1,"Lucia-Diego","Marta-Sara","Jose"))</f>
        <v/>
      </c>
      <c r="D7" s="6">
        <f>IF(B7="","",INT((A7-1)/500)+1)</f>
        <v/>
      </c>
    </row>
    <row r="8">
      <c r="A8" s="6" t="n">
        <v>3</v>
      </c>
      <c r="B8" s="6" t="n"/>
      <c r="C8" s="6">
        <f>IF(B8="","",CHOOSE(MOD(A8-1,3)+1,"Lucia-Diego","Marta-Sara","Jose"))</f>
        <v/>
      </c>
      <c r="D8" s="6">
        <f>IF(B8="","",INT((A8-1)/500)+1)</f>
        <v/>
      </c>
    </row>
    <row r="9">
      <c r="A9" s="6" t="n">
        <v>4</v>
      </c>
      <c r="B9" s="6" t="n"/>
      <c r="C9" s="6">
        <f>IF(B9="","",CHOOSE(MOD(A9-1,3)+1,"Lucia-Diego","Marta-Sara","Jose"))</f>
        <v/>
      </c>
      <c r="D9" s="6">
        <f>IF(B9="","",INT((A9-1)/500)+1)</f>
        <v/>
      </c>
    </row>
    <row r="10">
      <c r="A10" s="6" t="n">
        <v>5</v>
      </c>
      <c r="B10" s="6" t="n"/>
      <c r="C10" s="6">
        <f>IF(B10="","",CHOOSE(MOD(A10-1,3)+1,"Lucia-Diego","Marta-Sara","Jose"))</f>
        <v/>
      </c>
      <c r="D10" s="6">
        <f>IF(B10="","",INT((A10-1)/500)+1)</f>
        <v/>
      </c>
    </row>
    <row r="11">
      <c r="A11" s="6" t="n">
        <v>6</v>
      </c>
      <c r="B11" s="6" t="n"/>
      <c r="C11" s="6">
        <f>IF(B11="","",CHOOSE(MOD(A11-1,3)+1,"Lucia-Diego","Marta-Sara","Jose"))</f>
        <v/>
      </c>
      <c r="D11" s="6">
        <f>IF(B11="","",INT((A11-1)/500)+1)</f>
        <v/>
      </c>
    </row>
    <row r="12">
      <c r="A12" s="6" t="n">
        <v>7</v>
      </c>
      <c r="B12" s="6" t="n"/>
      <c r="C12" s="6">
        <f>IF(B12="","",CHOOSE(MOD(A12-1,3)+1,"Lucia-Diego","Marta-Sara","Jose"))</f>
        <v/>
      </c>
      <c r="D12" s="6">
        <f>IF(B12="","",INT((A12-1)/500)+1)</f>
        <v/>
      </c>
    </row>
    <row r="13">
      <c r="A13" s="6" t="n">
        <v>8</v>
      </c>
      <c r="B13" s="6" t="n"/>
      <c r="C13" s="6">
        <f>IF(B13="","",CHOOSE(MOD(A13-1,3)+1,"Lucia-Diego","Marta-Sara","Jose"))</f>
        <v/>
      </c>
      <c r="D13" s="6">
        <f>IF(B13="","",INT((A13-1)/500)+1)</f>
        <v/>
      </c>
    </row>
    <row r="14">
      <c r="A14" s="6" t="n">
        <v>9</v>
      </c>
      <c r="B14" s="6" t="n"/>
      <c r="C14" s="6">
        <f>IF(B14="","",CHOOSE(MOD(A14-1,3)+1,"Lucia-Diego","Marta-Sara","Jose"))</f>
        <v/>
      </c>
      <c r="D14" s="6">
        <f>IF(B14="","",INT((A14-1)/500)+1)</f>
        <v/>
      </c>
    </row>
    <row r="15">
      <c r="A15" s="6" t="n">
        <v>10</v>
      </c>
      <c r="B15" s="6" t="n"/>
      <c r="C15" s="6">
        <f>IF(B15="","",CHOOSE(MOD(A15-1,3)+1,"Lucia-Diego","Marta-Sara","Jose"))</f>
        <v/>
      </c>
      <c r="D15" s="6">
        <f>IF(B15="","",INT((A15-1)/500)+1)</f>
        <v/>
      </c>
    </row>
    <row r="16">
      <c r="A16" s="6" t="n">
        <v>11</v>
      </c>
      <c r="B16" s="6" t="n"/>
      <c r="C16" s="6">
        <f>IF(B16="","",CHOOSE(MOD(A16-1,3)+1,"Lucia-Diego","Marta-Sara","Jose"))</f>
        <v/>
      </c>
      <c r="D16" s="6">
        <f>IF(B16="","",INT((A16-1)/500)+1)</f>
        <v/>
      </c>
    </row>
    <row r="17">
      <c r="A17" s="6" t="n">
        <v>12</v>
      </c>
      <c r="B17" s="6" t="n"/>
      <c r="C17" s="6">
        <f>IF(B17="","",CHOOSE(MOD(A17-1,3)+1,"Lucia-Diego","Marta-Sara","Jose"))</f>
        <v/>
      </c>
      <c r="D17" s="6">
        <f>IF(B17="","",INT((A17-1)/500)+1)</f>
        <v/>
      </c>
    </row>
    <row r="18">
      <c r="A18" s="6" t="n">
        <v>13</v>
      </c>
      <c r="B18" s="6" t="n"/>
      <c r="C18" s="6">
        <f>IF(B18="","",CHOOSE(MOD(A18-1,3)+1,"Lucia-Diego","Marta-Sara","Jose"))</f>
        <v/>
      </c>
      <c r="D18" s="6">
        <f>IF(B18="","",INT((A18-1)/500)+1)</f>
        <v/>
      </c>
    </row>
    <row r="19">
      <c r="A19" s="6" t="n">
        <v>14</v>
      </c>
      <c r="B19" s="6" t="n"/>
      <c r="C19" s="6">
        <f>IF(B19="","",CHOOSE(MOD(A19-1,3)+1,"Lucia-Diego","Marta-Sara","Jose"))</f>
        <v/>
      </c>
      <c r="D19" s="6">
        <f>IF(B19="","",INT((A19-1)/500)+1)</f>
        <v/>
      </c>
    </row>
    <row r="20">
      <c r="A20" s="6" t="n">
        <v>15</v>
      </c>
      <c r="B20" s="6" t="n"/>
      <c r="C20" s="6">
        <f>IF(B20="","",CHOOSE(MOD(A20-1,3)+1,"Lucia-Diego","Marta-Sara","Jose"))</f>
        <v/>
      </c>
      <c r="D20" s="6">
        <f>IF(B20="","",INT((A20-1)/500)+1)</f>
        <v/>
      </c>
    </row>
    <row r="21">
      <c r="A21" s="6" t="n">
        <v>16</v>
      </c>
      <c r="B21" s="6" t="n"/>
      <c r="C21" s="6">
        <f>IF(B21="","",CHOOSE(MOD(A21-1,3)+1,"Lucia-Diego","Marta-Sara","Jose"))</f>
        <v/>
      </c>
      <c r="D21" s="6">
        <f>IF(B21="","",INT((A21-1)/500)+1)</f>
        <v/>
      </c>
    </row>
    <row r="22">
      <c r="A22" s="6" t="n">
        <v>17</v>
      </c>
      <c r="B22" s="6" t="n"/>
      <c r="C22" s="6">
        <f>IF(B22="","",CHOOSE(MOD(A22-1,3)+1,"Lucia-Diego","Marta-Sara","Jose"))</f>
        <v/>
      </c>
      <c r="D22" s="6">
        <f>IF(B22="","",INT((A22-1)/500)+1)</f>
        <v/>
      </c>
    </row>
    <row r="23">
      <c r="A23" s="6" t="n">
        <v>18</v>
      </c>
      <c r="B23" s="6" t="n"/>
      <c r="C23" s="6">
        <f>IF(B23="","",CHOOSE(MOD(A23-1,3)+1,"Lucia-Diego","Marta-Sara","Jose"))</f>
        <v/>
      </c>
      <c r="D23" s="6">
        <f>IF(B23="","",INT((A23-1)/500)+1)</f>
        <v/>
      </c>
    </row>
    <row r="24">
      <c r="A24" s="6" t="n">
        <v>19</v>
      </c>
      <c r="B24" s="6" t="n"/>
      <c r="C24" s="6">
        <f>IF(B24="","",CHOOSE(MOD(A24-1,3)+1,"Lucia-Diego","Marta-Sara","Jose"))</f>
        <v/>
      </c>
      <c r="D24" s="6">
        <f>IF(B24="","",INT((A24-1)/500)+1)</f>
        <v/>
      </c>
    </row>
    <row r="25">
      <c r="A25" s="6" t="n">
        <v>20</v>
      </c>
      <c r="B25" s="6" t="n"/>
      <c r="C25" s="6">
        <f>IF(B25="","",CHOOSE(MOD(A25-1,3)+1,"Lucia-Diego","Marta-Sara","Jose"))</f>
        <v/>
      </c>
      <c r="D25" s="6">
        <f>IF(B25="","",INT((A25-1)/500)+1)</f>
        <v/>
      </c>
    </row>
    <row r="26">
      <c r="A26" s="6" t="n">
        <v>21</v>
      </c>
      <c r="B26" s="6" t="n"/>
      <c r="C26" s="6">
        <f>IF(B26="","",CHOOSE(MOD(A26-1,3)+1,"Lucia-Diego","Marta-Sara","Jose"))</f>
        <v/>
      </c>
      <c r="D26" s="6">
        <f>IF(B26="","",INT((A26-1)/500)+1)</f>
        <v/>
      </c>
    </row>
    <row r="27">
      <c r="A27" s="6" t="n">
        <v>22</v>
      </c>
      <c r="B27" s="6" t="n"/>
      <c r="C27" s="6">
        <f>IF(B27="","",CHOOSE(MOD(A27-1,3)+1,"Lucia-Diego","Marta-Sara","Jose"))</f>
        <v/>
      </c>
      <c r="D27" s="6">
        <f>IF(B27="","",INT((A27-1)/500)+1)</f>
        <v/>
      </c>
    </row>
    <row r="28">
      <c r="A28" s="6" t="n">
        <v>23</v>
      </c>
      <c r="B28" s="6" t="n"/>
      <c r="C28" s="6">
        <f>IF(B28="","",CHOOSE(MOD(A28-1,3)+1,"Lucia-Diego","Marta-Sara","Jose"))</f>
        <v/>
      </c>
      <c r="D28" s="6">
        <f>IF(B28="","",INT((A28-1)/500)+1)</f>
        <v/>
      </c>
    </row>
    <row r="29">
      <c r="A29" s="6" t="n">
        <v>24</v>
      </c>
      <c r="B29" s="6" t="n"/>
      <c r="C29" s="6">
        <f>IF(B29="","",CHOOSE(MOD(A29-1,3)+1,"Lucia-Diego","Marta-Sara","Jose"))</f>
        <v/>
      </c>
      <c r="D29" s="6">
        <f>IF(B29="","",INT((A29-1)/500)+1)</f>
        <v/>
      </c>
    </row>
    <row r="30">
      <c r="A30" s="6" t="n">
        <v>25</v>
      </c>
      <c r="B30" s="6" t="n"/>
      <c r="C30" s="6">
        <f>IF(B30="","",CHOOSE(MOD(A30-1,3)+1,"Lucia-Diego","Marta-Sara","Jose"))</f>
        <v/>
      </c>
      <c r="D30" s="6">
        <f>IF(B30="","",INT((A30-1)/500)+1)</f>
        <v/>
      </c>
    </row>
    <row r="31">
      <c r="A31" s="6" t="n">
        <v>26</v>
      </c>
      <c r="B31" s="6" t="n"/>
      <c r="C31" s="6">
        <f>IF(B31="","",CHOOSE(MOD(A31-1,3)+1,"Lucia-Diego","Marta-Sara","Jose"))</f>
        <v/>
      </c>
      <c r="D31" s="6">
        <f>IF(B31="","",INT((A31-1)/500)+1)</f>
        <v/>
      </c>
    </row>
    <row r="32">
      <c r="A32" s="6" t="n">
        <v>27</v>
      </c>
      <c r="B32" s="6" t="n"/>
      <c r="C32" s="6">
        <f>IF(B32="","",CHOOSE(MOD(A32-1,3)+1,"Lucia-Diego","Marta-Sara","Jose"))</f>
        <v/>
      </c>
      <c r="D32" s="6">
        <f>IF(B32="","",INT((A32-1)/500)+1)</f>
        <v/>
      </c>
    </row>
    <row r="33">
      <c r="A33" s="6" t="n">
        <v>28</v>
      </c>
      <c r="B33" s="6" t="n"/>
      <c r="C33" s="6">
        <f>IF(B33="","",CHOOSE(MOD(A33-1,3)+1,"Lucia-Diego","Marta-Sara","Jose"))</f>
        <v/>
      </c>
      <c r="D33" s="6">
        <f>IF(B33="","",INT((A33-1)/500)+1)</f>
        <v/>
      </c>
    </row>
    <row r="34">
      <c r="A34" s="6" t="n">
        <v>29</v>
      </c>
      <c r="B34" s="6" t="n"/>
      <c r="C34" s="6">
        <f>IF(B34="","",CHOOSE(MOD(A34-1,3)+1,"Lucia-Diego","Marta-Sara","Jose"))</f>
        <v/>
      </c>
      <c r="D34" s="6">
        <f>IF(B34="","",INT((A34-1)/500)+1)</f>
        <v/>
      </c>
    </row>
    <row r="35">
      <c r="A35" s="6" t="n">
        <v>30</v>
      </c>
      <c r="B35" s="6" t="n"/>
      <c r="C35" s="6">
        <f>IF(B35="","",CHOOSE(MOD(A35-1,3)+1,"Lucia-Diego","Marta-Sara","Jose"))</f>
        <v/>
      </c>
      <c r="D35" s="6">
        <f>IF(B35="","",INT((A35-1)/500)+1)</f>
        <v/>
      </c>
    </row>
    <row r="36">
      <c r="A36" s="6" t="n">
        <v>31</v>
      </c>
      <c r="B36" s="6" t="n"/>
      <c r="C36" s="6">
        <f>IF(B36="","",CHOOSE(MOD(A36-1,3)+1,"Lucia-Diego","Marta-Sara","Jose"))</f>
        <v/>
      </c>
      <c r="D36" s="6">
        <f>IF(B36="","",INT((A36-1)/500)+1)</f>
        <v/>
      </c>
    </row>
    <row r="37">
      <c r="A37" s="6" t="n">
        <v>32</v>
      </c>
      <c r="B37" s="6" t="n"/>
      <c r="C37" s="6">
        <f>IF(B37="","",CHOOSE(MOD(A37-1,3)+1,"Lucia-Diego","Marta-Sara","Jose"))</f>
        <v/>
      </c>
      <c r="D37" s="6">
        <f>IF(B37="","",INT((A37-1)/500)+1)</f>
        <v/>
      </c>
    </row>
    <row r="38">
      <c r="A38" s="6" t="n">
        <v>33</v>
      </c>
      <c r="B38" s="6" t="n"/>
      <c r="C38" s="6">
        <f>IF(B38="","",CHOOSE(MOD(A38-1,3)+1,"Lucia-Diego","Marta-Sara","Jose"))</f>
        <v/>
      </c>
      <c r="D38" s="6">
        <f>IF(B38="","",INT((A38-1)/500)+1)</f>
        <v/>
      </c>
    </row>
    <row r="39">
      <c r="A39" s="6" t="n">
        <v>34</v>
      </c>
      <c r="B39" s="6" t="n"/>
      <c r="C39" s="6">
        <f>IF(B39="","",CHOOSE(MOD(A39-1,3)+1,"Lucia-Diego","Marta-Sara","Jose"))</f>
        <v/>
      </c>
      <c r="D39" s="6">
        <f>IF(B39="","",INT((A39-1)/500)+1)</f>
        <v/>
      </c>
    </row>
    <row r="40">
      <c r="A40" s="6" t="n">
        <v>35</v>
      </c>
      <c r="B40" s="6" t="n"/>
      <c r="C40" s="6">
        <f>IF(B40="","",CHOOSE(MOD(A40-1,3)+1,"Lucia-Diego","Marta-Sara","Jose"))</f>
        <v/>
      </c>
      <c r="D40" s="6">
        <f>IF(B40="","",INT((A40-1)/500)+1)</f>
        <v/>
      </c>
    </row>
    <row r="41">
      <c r="A41" s="6" t="n">
        <v>36</v>
      </c>
      <c r="B41" s="6" t="n"/>
      <c r="C41" s="6">
        <f>IF(B41="","",CHOOSE(MOD(A41-1,3)+1,"Lucia-Diego","Marta-Sara","Jose"))</f>
        <v/>
      </c>
      <c r="D41" s="6">
        <f>IF(B41="","",INT((A41-1)/500)+1)</f>
        <v/>
      </c>
    </row>
    <row r="42">
      <c r="A42" s="6" t="n">
        <v>37</v>
      </c>
      <c r="B42" s="6" t="n"/>
      <c r="C42" s="6">
        <f>IF(B42="","",CHOOSE(MOD(A42-1,3)+1,"Lucia-Diego","Marta-Sara","Jose"))</f>
        <v/>
      </c>
      <c r="D42" s="6">
        <f>IF(B42="","",INT((A42-1)/500)+1)</f>
        <v/>
      </c>
    </row>
    <row r="43">
      <c r="A43" s="6" t="n">
        <v>38</v>
      </c>
      <c r="B43" s="6" t="n"/>
      <c r="C43" s="6">
        <f>IF(B43="","",CHOOSE(MOD(A43-1,3)+1,"Lucia-Diego","Marta-Sara","Jose"))</f>
        <v/>
      </c>
      <c r="D43" s="6">
        <f>IF(B43="","",INT((A43-1)/500)+1)</f>
        <v/>
      </c>
    </row>
    <row r="44">
      <c r="A44" s="6" t="n">
        <v>39</v>
      </c>
      <c r="B44" s="6" t="n"/>
      <c r="C44" s="6">
        <f>IF(B44="","",CHOOSE(MOD(A44-1,3)+1,"Lucia-Diego","Marta-Sara","Jose"))</f>
        <v/>
      </c>
      <c r="D44" s="6">
        <f>IF(B44="","",INT((A44-1)/500)+1)</f>
        <v/>
      </c>
    </row>
    <row r="45">
      <c r="A45" s="6" t="n">
        <v>40</v>
      </c>
      <c r="B45" s="6" t="n"/>
      <c r="C45" s="6">
        <f>IF(B45="","",CHOOSE(MOD(A45-1,3)+1,"Lucia-Diego","Marta-Sara","Jose"))</f>
        <v/>
      </c>
      <c r="D45" s="6">
        <f>IF(B45="","",INT((A45-1)/500)+1)</f>
        <v/>
      </c>
    </row>
    <row r="46">
      <c r="A46" s="6" t="n">
        <v>41</v>
      </c>
      <c r="B46" s="6" t="n"/>
      <c r="C46" s="6">
        <f>IF(B46="","",CHOOSE(MOD(A46-1,3)+1,"Lucia-Diego","Marta-Sara","Jose"))</f>
        <v/>
      </c>
      <c r="D46" s="6">
        <f>IF(B46="","",INT((A46-1)/500)+1)</f>
        <v/>
      </c>
    </row>
    <row r="47">
      <c r="A47" s="6" t="n">
        <v>42</v>
      </c>
      <c r="B47" s="6" t="n"/>
      <c r="C47" s="6">
        <f>IF(B47="","",CHOOSE(MOD(A47-1,3)+1,"Lucia-Diego","Marta-Sara","Jose"))</f>
        <v/>
      </c>
      <c r="D47" s="6">
        <f>IF(B47="","",INT((A47-1)/500)+1)</f>
        <v/>
      </c>
    </row>
    <row r="48">
      <c r="A48" s="6" t="n">
        <v>43</v>
      </c>
      <c r="B48" s="6" t="n"/>
      <c r="C48" s="6">
        <f>IF(B48="","",CHOOSE(MOD(A48-1,3)+1,"Lucia-Diego","Marta-Sara","Jose"))</f>
        <v/>
      </c>
      <c r="D48" s="6">
        <f>IF(B48="","",INT((A48-1)/500)+1)</f>
        <v/>
      </c>
    </row>
    <row r="49">
      <c r="A49" s="6" t="n">
        <v>44</v>
      </c>
      <c r="B49" s="6" t="n"/>
      <c r="C49" s="6">
        <f>IF(B49="","",CHOOSE(MOD(A49-1,3)+1,"Lucia-Diego","Marta-Sara","Jose"))</f>
        <v/>
      </c>
      <c r="D49" s="6">
        <f>IF(B49="","",INT((A49-1)/500)+1)</f>
        <v/>
      </c>
    </row>
    <row r="50">
      <c r="A50" s="6" t="n">
        <v>45</v>
      </c>
      <c r="B50" s="6" t="n"/>
      <c r="C50" s="6">
        <f>IF(B50="","",CHOOSE(MOD(A50-1,3)+1,"Lucia-Diego","Marta-Sara","Jose"))</f>
        <v/>
      </c>
      <c r="D50" s="6">
        <f>IF(B50="","",INT((A50-1)/500)+1)</f>
        <v/>
      </c>
    </row>
    <row r="51">
      <c r="A51" s="6" t="n">
        <v>46</v>
      </c>
      <c r="B51" s="6" t="n"/>
      <c r="C51" s="6">
        <f>IF(B51="","",CHOOSE(MOD(A51-1,3)+1,"Lucia-Diego","Marta-Sara","Jose"))</f>
        <v/>
      </c>
      <c r="D51" s="6">
        <f>IF(B51="","",INT((A51-1)/500)+1)</f>
        <v/>
      </c>
    </row>
    <row r="52">
      <c r="A52" s="6" t="n">
        <v>47</v>
      </c>
      <c r="B52" s="6" t="n"/>
      <c r="C52" s="6">
        <f>IF(B52="","",CHOOSE(MOD(A52-1,3)+1,"Lucia-Diego","Marta-Sara","Jose"))</f>
        <v/>
      </c>
      <c r="D52" s="6">
        <f>IF(B52="","",INT((A52-1)/500)+1)</f>
        <v/>
      </c>
    </row>
    <row r="53">
      <c r="A53" s="6" t="n">
        <v>48</v>
      </c>
      <c r="B53" s="6" t="n"/>
      <c r="C53" s="6">
        <f>IF(B53="","",CHOOSE(MOD(A53-1,3)+1,"Lucia-Diego","Marta-Sara","Jose"))</f>
        <v/>
      </c>
      <c r="D53" s="6">
        <f>IF(B53="","",INT((A53-1)/500)+1)</f>
        <v/>
      </c>
    </row>
    <row r="54">
      <c r="A54" s="6" t="n">
        <v>49</v>
      </c>
      <c r="B54" s="6" t="n"/>
      <c r="C54" s="6">
        <f>IF(B54="","",CHOOSE(MOD(A54-1,3)+1,"Lucia-Diego","Marta-Sara","Jose"))</f>
        <v/>
      </c>
      <c r="D54" s="6">
        <f>IF(B54="","",INT((A54-1)/500)+1)</f>
        <v/>
      </c>
    </row>
    <row r="55">
      <c r="A55" s="6" t="n">
        <v>50</v>
      </c>
      <c r="B55" s="6" t="n"/>
      <c r="C55" s="6">
        <f>IF(B55="","",CHOOSE(MOD(A55-1,3)+1,"Lucia-Diego","Marta-Sara","Jose"))</f>
        <v/>
      </c>
      <c r="D55" s="6">
        <f>IF(B55="","",INT((A55-1)/500)+1)</f>
        <v/>
      </c>
    </row>
    <row r="56">
      <c r="A56" s="6" t="n">
        <v>51</v>
      </c>
      <c r="B56" s="6" t="n"/>
      <c r="C56" s="6">
        <f>IF(B56="","",CHOOSE(MOD(A56-1,3)+1,"Lucia-Diego","Marta-Sara","Jose"))</f>
        <v/>
      </c>
      <c r="D56" s="6">
        <f>IF(B56="","",INT((A56-1)/500)+1)</f>
        <v/>
      </c>
    </row>
    <row r="57">
      <c r="A57" s="6" t="n">
        <v>52</v>
      </c>
      <c r="B57" s="6" t="n"/>
      <c r="C57" s="6">
        <f>IF(B57="","",CHOOSE(MOD(A57-1,3)+1,"Lucia-Diego","Marta-Sara","Jose"))</f>
        <v/>
      </c>
      <c r="D57" s="6">
        <f>IF(B57="","",INT((A57-1)/500)+1)</f>
        <v/>
      </c>
    </row>
    <row r="58">
      <c r="A58" s="6" t="n">
        <v>53</v>
      </c>
      <c r="B58" s="6" t="n"/>
      <c r="C58" s="6">
        <f>IF(B58="","",CHOOSE(MOD(A58-1,3)+1,"Lucia-Diego","Marta-Sara","Jose"))</f>
        <v/>
      </c>
      <c r="D58" s="6">
        <f>IF(B58="","",INT((A58-1)/500)+1)</f>
        <v/>
      </c>
    </row>
    <row r="59">
      <c r="A59" s="6" t="n">
        <v>54</v>
      </c>
      <c r="B59" s="6" t="n"/>
      <c r="C59" s="6">
        <f>IF(B59="","",CHOOSE(MOD(A59-1,3)+1,"Lucia-Diego","Marta-Sara","Jose"))</f>
        <v/>
      </c>
      <c r="D59" s="6">
        <f>IF(B59="","",INT((A59-1)/500)+1)</f>
        <v/>
      </c>
    </row>
    <row r="60">
      <c r="A60" s="6" t="n">
        <v>55</v>
      </c>
      <c r="B60" s="6" t="n"/>
      <c r="C60" s="6">
        <f>IF(B60="","",CHOOSE(MOD(A60-1,3)+1,"Lucia-Diego","Marta-Sara","Jose"))</f>
        <v/>
      </c>
      <c r="D60" s="6">
        <f>IF(B60="","",INT((A60-1)/500)+1)</f>
        <v/>
      </c>
    </row>
    <row r="61">
      <c r="A61" s="6" t="n">
        <v>56</v>
      </c>
      <c r="B61" s="6" t="n"/>
      <c r="C61" s="6">
        <f>IF(B61="","",CHOOSE(MOD(A61-1,3)+1,"Lucia-Diego","Marta-Sara","Jose"))</f>
        <v/>
      </c>
      <c r="D61" s="6">
        <f>IF(B61="","",INT((A61-1)/500)+1)</f>
        <v/>
      </c>
    </row>
    <row r="62">
      <c r="A62" s="6" t="n">
        <v>57</v>
      </c>
      <c r="B62" s="6" t="n"/>
      <c r="C62" s="6">
        <f>IF(B62="","",CHOOSE(MOD(A62-1,3)+1,"Lucia-Diego","Marta-Sara","Jose"))</f>
        <v/>
      </c>
      <c r="D62" s="6">
        <f>IF(B62="","",INT((A62-1)/500)+1)</f>
        <v/>
      </c>
    </row>
    <row r="63">
      <c r="A63" s="6" t="n">
        <v>58</v>
      </c>
      <c r="B63" s="6" t="n"/>
      <c r="C63" s="6">
        <f>IF(B63="","",CHOOSE(MOD(A63-1,3)+1,"Lucia-Diego","Marta-Sara","Jose"))</f>
        <v/>
      </c>
      <c r="D63" s="6">
        <f>IF(B63="","",INT((A63-1)/500)+1)</f>
        <v/>
      </c>
    </row>
    <row r="64">
      <c r="A64" s="6" t="n">
        <v>59</v>
      </c>
      <c r="B64" s="6" t="n"/>
      <c r="C64" s="6">
        <f>IF(B64="","",CHOOSE(MOD(A64-1,3)+1,"Lucia-Diego","Marta-Sara","Jose"))</f>
        <v/>
      </c>
      <c r="D64" s="6">
        <f>IF(B64="","",INT((A64-1)/500)+1)</f>
        <v/>
      </c>
    </row>
    <row r="65">
      <c r="A65" s="6" t="n">
        <v>60</v>
      </c>
      <c r="B65" s="6" t="n"/>
      <c r="C65" s="6">
        <f>IF(B65="","",CHOOSE(MOD(A65-1,3)+1,"Lucia-Diego","Marta-Sara","Jose"))</f>
        <v/>
      </c>
      <c r="D65" s="6">
        <f>IF(B65="","",INT((A65-1)/500)+1)</f>
        <v/>
      </c>
    </row>
    <row r="66">
      <c r="A66" s="6" t="n">
        <v>61</v>
      </c>
      <c r="B66" s="6" t="n"/>
      <c r="C66" s="6">
        <f>IF(B66="","",CHOOSE(MOD(A66-1,3)+1,"Lucia-Diego","Marta-Sara","Jose"))</f>
        <v/>
      </c>
      <c r="D66" s="6">
        <f>IF(B66="","",INT((A66-1)/500)+1)</f>
        <v/>
      </c>
    </row>
    <row r="67">
      <c r="A67" s="6" t="n">
        <v>62</v>
      </c>
      <c r="B67" s="6" t="n"/>
      <c r="C67" s="6">
        <f>IF(B67="","",CHOOSE(MOD(A67-1,3)+1,"Lucia-Diego","Marta-Sara","Jose"))</f>
        <v/>
      </c>
      <c r="D67" s="6">
        <f>IF(B67="","",INT((A67-1)/500)+1)</f>
        <v/>
      </c>
    </row>
    <row r="68">
      <c r="A68" s="6" t="n">
        <v>63</v>
      </c>
      <c r="B68" s="6" t="n"/>
      <c r="C68" s="6">
        <f>IF(B68="","",CHOOSE(MOD(A68-1,3)+1,"Lucia-Diego","Marta-Sara","Jose"))</f>
        <v/>
      </c>
      <c r="D68" s="6">
        <f>IF(B68="","",INT((A68-1)/500)+1)</f>
        <v/>
      </c>
    </row>
    <row r="69">
      <c r="A69" s="6" t="n">
        <v>64</v>
      </c>
      <c r="B69" s="6" t="n"/>
      <c r="C69" s="6">
        <f>IF(B69="","",CHOOSE(MOD(A69-1,3)+1,"Lucia-Diego","Marta-Sara","Jose"))</f>
        <v/>
      </c>
      <c r="D69" s="6">
        <f>IF(B69="","",INT((A69-1)/500)+1)</f>
        <v/>
      </c>
    </row>
    <row r="70">
      <c r="A70" s="6" t="n">
        <v>65</v>
      </c>
      <c r="B70" s="6" t="n"/>
      <c r="C70" s="6">
        <f>IF(B70="","",CHOOSE(MOD(A70-1,3)+1,"Lucia-Diego","Marta-Sara","Jose"))</f>
        <v/>
      </c>
      <c r="D70" s="6">
        <f>IF(B70="","",INT((A70-1)/500)+1)</f>
        <v/>
      </c>
    </row>
    <row r="71">
      <c r="A71" s="6" t="n">
        <v>66</v>
      </c>
      <c r="B71" s="6" t="n"/>
      <c r="C71" s="6">
        <f>IF(B71="","",CHOOSE(MOD(A71-1,3)+1,"Lucia-Diego","Marta-Sara","Jose"))</f>
        <v/>
      </c>
      <c r="D71" s="6">
        <f>IF(B71="","",INT((A71-1)/500)+1)</f>
        <v/>
      </c>
    </row>
    <row r="72">
      <c r="A72" s="6" t="n">
        <v>67</v>
      </c>
      <c r="B72" s="6" t="n"/>
      <c r="C72" s="6">
        <f>IF(B72="","",CHOOSE(MOD(A72-1,3)+1,"Lucia-Diego","Marta-Sara","Jose"))</f>
        <v/>
      </c>
      <c r="D72" s="6">
        <f>IF(B72="","",INT((A72-1)/500)+1)</f>
        <v/>
      </c>
    </row>
    <row r="73">
      <c r="A73" s="6" t="n">
        <v>68</v>
      </c>
      <c r="B73" s="6" t="n"/>
      <c r="C73" s="6">
        <f>IF(B73="","",CHOOSE(MOD(A73-1,3)+1,"Lucia-Diego","Marta-Sara","Jose"))</f>
        <v/>
      </c>
      <c r="D73" s="6">
        <f>IF(B73="","",INT((A73-1)/500)+1)</f>
        <v/>
      </c>
    </row>
    <row r="74">
      <c r="A74" s="6" t="n">
        <v>69</v>
      </c>
      <c r="B74" s="6" t="n"/>
      <c r="C74" s="6">
        <f>IF(B74="","",CHOOSE(MOD(A74-1,3)+1,"Lucia-Diego","Marta-Sara","Jose"))</f>
        <v/>
      </c>
      <c r="D74" s="6">
        <f>IF(B74="","",INT((A74-1)/500)+1)</f>
        <v/>
      </c>
    </row>
    <row r="75">
      <c r="A75" s="6" t="n">
        <v>70</v>
      </c>
      <c r="B75" s="6" t="n"/>
      <c r="C75" s="6">
        <f>IF(B75="","",CHOOSE(MOD(A75-1,3)+1,"Lucia-Diego","Marta-Sara","Jose"))</f>
        <v/>
      </c>
      <c r="D75" s="6">
        <f>IF(B75="","",INT((A75-1)/500)+1)</f>
        <v/>
      </c>
    </row>
    <row r="76">
      <c r="A76" s="6" t="n">
        <v>71</v>
      </c>
      <c r="B76" s="6" t="n"/>
      <c r="C76" s="6">
        <f>IF(B76="","",CHOOSE(MOD(A76-1,3)+1,"Lucia-Diego","Marta-Sara","Jose"))</f>
        <v/>
      </c>
      <c r="D76" s="6">
        <f>IF(B76="","",INT((A76-1)/500)+1)</f>
        <v/>
      </c>
    </row>
    <row r="77">
      <c r="A77" s="6" t="n">
        <v>72</v>
      </c>
      <c r="B77" s="6" t="n"/>
      <c r="C77" s="6">
        <f>IF(B77="","",CHOOSE(MOD(A77-1,3)+1,"Lucia-Diego","Marta-Sara","Jose"))</f>
        <v/>
      </c>
      <c r="D77" s="6">
        <f>IF(B77="","",INT((A77-1)/500)+1)</f>
        <v/>
      </c>
    </row>
    <row r="78">
      <c r="A78" s="6" t="n">
        <v>73</v>
      </c>
      <c r="B78" s="6" t="n"/>
      <c r="C78" s="6">
        <f>IF(B78="","",CHOOSE(MOD(A78-1,3)+1,"Lucia-Diego","Marta-Sara","Jose"))</f>
        <v/>
      </c>
      <c r="D78" s="6">
        <f>IF(B78="","",INT((A78-1)/500)+1)</f>
        <v/>
      </c>
    </row>
    <row r="79">
      <c r="A79" s="6" t="n">
        <v>74</v>
      </c>
      <c r="B79" s="6" t="n"/>
      <c r="C79" s="6">
        <f>IF(B79="","",CHOOSE(MOD(A79-1,3)+1,"Lucia-Diego","Marta-Sara","Jose"))</f>
        <v/>
      </c>
      <c r="D79" s="6">
        <f>IF(B79="","",INT((A79-1)/500)+1)</f>
        <v/>
      </c>
    </row>
    <row r="80">
      <c r="A80" s="6" t="n">
        <v>75</v>
      </c>
      <c r="B80" s="6" t="n"/>
      <c r="C80" s="6">
        <f>IF(B80="","",CHOOSE(MOD(A80-1,3)+1,"Lucia-Diego","Marta-Sara","Jose"))</f>
        <v/>
      </c>
      <c r="D80" s="6">
        <f>IF(B80="","",INT((A80-1)/500)+1)</f>
        <v/>
      </c>
    </row>
    <row r="81">
      <c r="A81" s="6" t="n">
        <v>76</v>
      </c>
      <c r="B81" s="6" t="n"/>
      <c r="C81" s="6">
        <f>IF(B81="","",CHOOSE(MOD(A81-1,3)+1,"Lucia-Diego","Marta-Sara","Jose"))</f>
        <v/>
      </c>
      <c r="D81" s="6">
        <f>IF(B81="","",INT((A81-1)/500)+1)</f>
        <v/>
      </c>
    </row>
    <row r="82">
      <c r="A82" s="6" t="n">
        <v>77</v>
      </c>
      <c r="B82" s="6" t="n"/>
      <c r="C82" s="6">
        <f>IF(B82="","",CHOOSE(MOD(A82-1,3)+1,"Lucia-Diego","Marta-Sara","Jose"))</f>
        <v/>
      </c>
      <c r="D82" s="6">
        <f>IF(B82="","",INT((A82-1)/500)+1)</f>
        <v/>
      </c>
    </row>
    <row r="83">
      <c r="A83" s="6" t="n">
        <v>78</v>
      </c>
      <c r="B83" s="6" t="n"/>
      <c r="C83" s="6">
        <f>IF(B83="","",CHOOSE(MOD(A83-1,3)+1,"Lucia-Diego","Marta-Sara","Jose"))</f>
        <v/>
      </c>
      <c r="D83" s="6">
        <f>IF(B83="","",INT((A83-1)/500)+1)</f>
        <v/>
      </c>
    </row>
    <row r="84">
      <c r="A84" s="6" t="n">
        <v>79</v>
      </c>
      <c r="B84" s="6" t="n"/>
      <c r="C84" s="6">
        <f>IF(B84="","",CHOOSE(MOD(A84-1,3)+1,"Lucia-Diego","Marta-Sara","Jose"))</f>
        <v/>
      </c>
      <c r="D84" s="6">
        <f>IF(B84="","",INT((A84-1)/500)+1)</f>
        <v/>
      </c>
    </row>
    <row r="85">
      <c r="A85" s="6" t="n">
        <v>80</v>
      </c>
      <c r="B85" s="6" t="n"/>
      <c r="C85" s="6">
        <f>IF(B85="","",CHOOSE(MOD(A85-1,3)+1,"Lucia-Diego","Marta-Sara","Jose"))</f>
        <v/>
      </c>
      <c r="D85" s="6">
        <f>IF(B85="","",INT((A85-1)/500)+1)</f>
        <v/>
      </c>
    </row>
    <row r="86">
      <c r="A86" s="6" t="n">
        <v>81</v>
      </c>
      <c r="B86" s="6" t="n"/>
      <c r="C86" s="6">
        <f>IF(B86="","",CHOOSE(MOD(A86-1,3)+1,"Lucia-Diego","Marta-Sara","Jose"))</f>
        <v/>
      </c>
      <c r="D86" s="6">
        <f>IF(B86="","",INT((A86-1)/500)+1)</f>
        <v/>
      </c>
    </row>
    <row r="87">
      <c r="A87" s="6" t="n">
        <v>82</v>
      </c>
      <c r="B87" s="6" t="n"/>
      <c r="C87" s="6">
        <f>IF(B87="","",CHOOSE(MOD(A87-1,3)+1,"Lucia-Diego","Marta-Sara","Jose"))</f>
        <v/>
      </c>
      <c r="D87" s="6">
        <f>IF(B87="","",INT((A87-1)/500)+1)</f>
        <v/>
      </c>
    </row>
    <row r="88">
      <c r="A88" s="6" t="n">
        <v>83</v>
      </c>
      <c r="B88" s="6" t="n"/>
      <c r="C88" s="6">
        <f>IF(B88="","",CHOOSE(MOD(A88-1,3)+1,"Lucia-Diego","Marta-Sara","Jose"))</f>
        <v/>
      </c>
      <c r="D88" s="6">
        <f>IF(B88="","",INT((A88-1)/500)+1)</f>
        <v/>
      </c>
    </row>
    <row r="89">
      <c r="A89" s="6" t="n">
        <v>84</v>
      </c>
      <c r="B89" s="6" t="n"/>
      <c r="C89" s="6">
        <f>IF(B89="","",CHOOSE(MOD(A89-1,3)+1,"Lucia-Diego","Marta-Sara","Jose"))</f>
        <v/>
      </c>
      <c r="D89" s="6">
        <f>IF(B89="","",INT((A89-1)/500)+1)</f>
        <v/>
      </c>
    </row>
    <row r="90">
      <c r="A90" s="6" t="n">
        <v>85</v>
      </c>
      <c r="B90" s="6" t="n"/>
      <c r="C90" s="6">
        <f>IF(B90="","",CHOOSE(MOD(A90-1,3)+1,"Lucia-Diego","Marta-Sara","Jose"))</f>
        <v/>
      </c>
      <c r="D90" s="6">
        <f>IF(B90="","",INT((A90-1)/500)+1)</f>
        <v/>
      </c>
    </row>
    <row r="91">
      <c r="A91" s="6" t="n">
        <v>86</v>
      </c>
      <c r="B91" s="6" t="n"/>
      <c r="C91" s="6">
        <f>IF(B91="","",CHOOSE(MOD(A91-1,3)+1,"Lucia-Diego","Marta-Sara","Jose"))</f>
        <v/>
      </c>
      <c r="D91" s="6">
        <f>IF(B91="","",INT((A91-1)/500)+1)</f>
        <v/>
      </c>
    </row>
    <row r="92">
      <c r="A92" s="6" t="n">
        <v>87</v>
      </c>
      <c r="B92" s="6" t="n"/>
      <c r="C92" s="6">
        <f>IF(B92="","",CHOOSE(MOD(A92-1,3)+1,"Lucia-Diego","Marta-Sara","Jose"))</f>
        <v/>
      </c>
      <c r="D92" s="6">
        <f>IF(B92="","",INT((A92-1)/500)+1)</f>
        <v/>
      </c>
    </row>
    <row r="93">
      <c r="A93" s="6" t="n">
        <v>88</v>
      </c>
      <c r="B93" s="6" t="n"/>
      <c r="C93" s="6">
        <f>IF(B93="","",CHOOSE(MOD(A93-1,3)+1,"Lucia-Diego","Marta-Sara","Jose"))</f>
        <v/>
      </c>
      <c r="D93" s="6">
        <f>IF(B93="","",INT((A93-1)/500)+1)</f>
        <v/>
      </c>
    </row>
    <row r="94">
      <c r="A94" s="6" t="n">
        <v>89</v>
      </c>
      <c r="B94" s="6" t="n"/>
      <c r="C94" s="6">
        <f>IF(B94="","",CHOOSE(MOD(A94-1,3)+1,"Lucia-Diego","Marta-Sara","Jose"))</f>
        <v/>
      </c>
      <c r="D94" s="6">
        <f>IF(B94="","",INT((A94-1)/500)+1)</f>
        <v/>
      </c>
    </row>
    <row r="95">
      <c r="A95" s="6" t="n">
        <v>90</v>
      </c>
      <c r="B95" s="6" t="n"/>
      <c r="C95" s="6">
        <f>IF(B95="","",CHOOSE(MOD(A95-1,3)+1,"Lucia-Diego","Marta-Sara","Jose"))</f>
        <v/>
      </c>
      <c r="D95" s="6">
        <f>IF(B95="","",INT((A95-1)/500)+1)</f>
        <v/>
      </c>
    </row>
    <row r="96">
      <c r="A96" s="6" t="n">
        <v>91</v>
      </c>
      <c r="B96" s="6" t="n"/>
      <c r="C96" s="6">
        <f>IF(B96="","",CHOOSE(MOD(A96-1,3)+1,"Lucia-Diego","Marta-Sara","Jose"))</f>
        <v/>
      </c>
      <c r="D96" s="6">
        <f>IF(B96="","",INT((A96-1)/500)+1)</f>
        <v/>
      </c>
    </row>
    <row r="97">
      <c r="A97" s="6" t="n">
        <v>92</v>
      </c>
      <c r="B97" s="6" t="n"/>
      <c r="C97" s="6">
        <f>IF(B97="","",CHOOSE(MOD(A97-1,3)+1,"Lucia-Diego","Marta-Sara","Jose"))</f>
        <v/>
      </c>
      <c r="D97" s="6">
        <f>IF(B97="","",INT((A97-1)/500)+1)</f>
        <v/>
      </c>
    </row>
    <row r="98">
      <c r="A98" s="6" t="n">
        <v>93</v>
      </c>
      <c r="B98" s="6" t="n"/>
      <c r="C98" s="6">
        <f>IF(B98="","",CHOOSE(MOD(A98-1,3)+1,"Lucia-Diego","Marta-Sara","Jose"))</f>
        <v/>
      </c>
      <c r="D98" s="6">
        <f>IF(B98="","",INT((A98-1)/500)+1)</f>
        <v/>
      </c>
    </row>
    <row r="99">
      <c r="A99" s="6" t="n">
        <v>94</v>
      </c>
      <c r="B99" s="6" t="n"/>
      <c r="C99" s="6">
        <f>IF(B99="","",CHOOSE(MOD(A99-1,3)+1,"Lucia-Diego","Marta-Sara","Jose"))</f>
        <v/>
      </c>
      <c r="D99" s="6">
        <f>IF(B99="","",INT((A99-1)/500)+1)</f>
        <v/>
      </c>
    </row>
    <row r="100">
      <c r="A100" s="6" t="n">
        <v>95</v>
      </c>
      <c r="B100" s="6" t="n"/>
      <c r="C100" s="6">
        <f>IF(B100="","",CHOOSE(MOD(A100-1,3)+1,"Lucia-Diego","Marta-Sara","Jose"))</f>
        <v/>
      </c>
      <c r="D100" s="6">
        <f>IF(B100="","",INT((A100-1)/500)+1)</f>
        <v/>
      </c>
    </row>
    <row r="101">
      <c r="A101" s="6" t="n">
        <v>96</v>
      </c>
      <c r="B101" s="6" t="n"/>
      <c r="C101" s="6">
        <f>IF(B101="","",CHOOSE(MOD(A101-1,3)+1,"Lucia-Diego","Marta-Sara","Jose"))</f>
        <v/>
      </c>
      <c r="D101" s="6">
        <f>IF(B101="","",INT((A101-1)/500)+1)</f>
        <v/>
      </c>
    </row>
    <row r="102">
      <c r="A102" s="6" t="n">
        <v>97</v>
      </c>
      <c r="B102" s="6" t="n"/>
      <c r="C102" s="6">
        <f>IF(B102="","",CHOOSE(MOD(A102-1,3)+1,"Lucia-Diego","Marta-Sara","Jose"))</f>
        <v/>
      </c>
      <c r="D102" s="6">
        <f>IF(B102="","",INT((A102-1)/500)+1)</f>
        <v/>
      </c>
    </row>
    <row r="103">
      <c r="A103" s="6" t="n">
        <v>98</v>
      </c>
      <c r="B103" s="6" t="n"/>
      <c r="C103" s="6">
        <f>IF(B103="","",CHOOSE(MOD(A103-1,3)+1,"Lucia-Diego","Marta-Sara","Jose"))</f>
        <v/>
      </c>
      <c r="D103" s="6">
        <f>IF(B103="","",INT((A103-1)/500)+1)</f>
        <v/>
      </c>
    </row>
    <row r="104">
      <c r="A104" s="6" t="n">
        <v>99</v>
      </c>
      <c r="B104" s="6" t="n"/>
      <c r="C104" s="6">
        <f>IF(B104="","",CHOOSE(MOD(A104-1,3)+1,"Lucia-Diego","Marta-Sara","Jose"))</f>
        <v/>
      </c>
      <c r="D104" s="6">
        <f>IF(B104="","",INT((A104-1)/500)+1)</f>
        <v/>
      </c>
    </row>
    <row r="105">
      <c r="A105" s="6" t="n">
        <v>100</v>
      </c>
      <c r="B105" s="6" t="n"/>
      <c r="C105" s="6">
        <f>IF(B105="","",CHOOSE(MOD(A105-1,3)+1,"Lucia-Diego","Marta-Sara","Jose"))</f>
        <v/>
      </c>
      <c r="D105" s="6">
        <f>IF(B105="","",INT((A105-1)/500)+1)</f>
        <v/>
      </c>
    </row>
    <row r="106">
      <c r="A106" s="6" t="n">
        <v>101</v>
      </c>
      <c r="B106" s="6" t="n"/>
      <c r="C106" s="6">
        <f>IF(B106="","",CHOOSE(MOD(A106-1,3)+1,"Lucia-Diego","Marta-Sara","Jose"))</f>
        <v/>
      </c>
      <c r="D106" s="6">
        <f>IF(B106="","",INT((A106-1)/500)+1)</f>
        <v/>
      </c>
    </row>
    <row r="107">
      <c r="A107" s="6" t="n">
        <v>102</v>
      </c>
      <c r="B107" s="6" t="n"/>
      <c r="C107" s="6">
        <f>IF(B107="","",CHOOSE(MOD(A107-1,3)+1,"Lucia-Diego","Marta-Sara","Jose"))</f>
        <v/>
      </c>
      <c r="D107" s="6">
        <f>IF(B107="","",INT((A107-1)/500)+1)</f>
        <v/>
      </c>
    </row>
    <row r="108">
      <c r="A108" s="6" t="n">
        <v>103</v>
      </c>
      <c r="B108" s="6" t="n"/>
      <c r="C108" s="6">
        <f>IF(B108="","",CHOOSE(MOD(A108-1,3)+1,"Lucia-Diego","Marta-Sara","Jose"))</f>
        <v/>
      </c>
      <c r="D108" s="6">
        <f>IF(B108="","",INT((A108-1)/500)+1)</f>
        <v/>
      </c>
    </row>
    <row r="109">
      <c r="A109" s="6" t="n">
        <v>104</v>
      </c>
      <c r="B109" s="6" t="n"/>
      <c r="C109" s="6">
        <f>IF(B109="","",CHOOSE(MOD(A109-1,3)+1,"Lucia-Diego","Marta-Sara","Jose"))</f>
        <v/>
      </c>
      <c r="D109" s="6">
        <f>IF(B109="","",INT((A109-1)/500)+1)</f>
        <v/>
      </c>
    </row>
    <row r="110">
      <c r="A110" s="6" t="n">
        <v>105</v>
      </c>
      <c r="B110" s="6" t="n"/>
      <c r="C110" s="6">
        <f>IF(B110="","",CHOOSE(MOD(A110-1,3)+1,"Lucia-Diego","Marta-Sara","Jose"))</f>
        <v/>
      </c>
      <c r="D110" s="6">
        <f>IF(B110="","",INT((A110-1)/500)+1)</f>
        <v/>
      </c>
    </row>
    <row r="111">
      <c r="A111" s="6" t="n">
        <v>106</v>
      </c>
      <c r="B111" s="6" t="n"/>
      <c r="C111" s="6">
        <f>IF(B111="","",CHOOSE(MOD(A111-1,3)+1,"Lucia-Diego","Marta-Sara","Jose"))</f>
        <v/>
      </c>
      <c r="D111" s="6">
        <f>IF(B111="","",INT((A111-1)/500)+1)</f>
        <v/>
      </c>
    </row>
    <row r="112">
      <c r="A112" s="6" t="n">
        <v>107</v>
      </c>
      <c r="B112" s="6" t="n"/>
      <c r="C112" s="6">
        <f>IF(B112="","",CHOOSE(MOD(A112-1,3)+1,"Lucia-Diego","Marta-Sara","Jose"))</f>
        <v/>
      </c>
      <c r="D112" s="6">
        <f>IF(B112="","",INT((A112-1)/500)+1)</f>
        <v/>
      </c>
    </row>
    <row r="113">
      <c r="A113" s="6" t="n">
        <v>108</v>
      </c>
      <c r="B113" s="6" t="n"/>
      <c r="C113" s="6">
        <f>IF(B113="","",CHOOSE(MOD(A113-1,3)+1,"Lucia-Diego","Marta-Sara","Jose"))</f>
        <v/>
      </c>
      <c r="D113" s="6">
        <f>IF(B113="","",INT((A113-1)/500)+1)</f>
        <v/>
      </c>
    </row>
    <row r="114">
      <c r="A114" s="6" t="n">
        <v>109</v>
      </c>
      <c r="B114" s="6" t="n"/>
      <c r="C114" s="6">
        <f>IF(B114="","",CHOOSE(MOD(A114-1,3)+1,"Lucia-Diego","Marta-Sara","Jose"))</f>
        <v/>
      </c>
      <c r="D114" s="6">
        <f>IF(B114="","",INT((A114-1)/500)+1)</f>
        <v/>
      </c>
    </row>
    <row r="115">
      <c r="A115" s="6" t="n">
        <v>110</v>
      </c>
      <c r="B115" s="6" t="n"/>
      <c r="C115" s="6">
        <f>IF(B115="","",CHOOSE(MOD(A115-1,3)+1,"Lucia-Diego","Marta-Sara","Jose"))</f>
        <v/>
      </c>
      <c r="D115" s="6">
        <f>IF(B115="","",INT((A115-1)/500)+1)</f>
        <v/>
      </c>
    </row>
    <row r="116">
      <c r="A116" s="6" t="n">
        <v>111</v>
      </c>
      <c r="B116" s="6" t="n"/>
      <c r="C116" s="6">
        <f>IF(B116="","",CHOOSE(MOD(A116-1,3)+1,"Lucia-Diego","Marta-Sara","Jose"))</f>
        <v/>
      </c>
      <c r="D116" s="6">
        <f>IF(B116="","",INT((A116-1)/500)+1)</f>
        <v/>
      </c>
    </row>
    <row r="117">
      <c r="A117" s="6" t="n">
        <v>112</v>
      </c>
      <c r="B117" s="6" t="n"/>
      <c r="C117" s="6">
        <f>IF(B117="","",CHOOSE(MOD(A117-1,3)+1,"Lucia-Diego","Marta-Sara","Jose"))</f>
        <v/>
      </c>
      <c r="D117" s="6">
        <f>IF(B117="","",INT((A117-1)/500)+1)</f>
        <v/>
      </c>
    </row>
    <row r="118">
      <c r="A118" s="6" t="n">
        <v>113</v>
      </c>
      <c r="B118" s="6" t="n"/>
      <c r="C118" s="6">
        <f>IF(B118="","",CHOOSE(MOD(A118-1,3)+1,"Lucia-Diego","Marta-Sara","Jose"))</f>
        <v/>
      </c>
      <c r="D118" s="6">
        <f>IF(B118="","",INT((A118-1)/500)+1)</f>
        <v/>
      </c>
    </row>
    <row r="119">
      <c r="A119" s="6" t="n">
        <v>114</v>
      </c>
      <c r="B119" s="6" t="n"/>
      <c r="C119" s="6">
        <f>IF(B119="","",CHOOSE(MOD(A119-1,3)+1,"Lucia-Diego","Marta-Sara","Jose"))</f>
        <v/>
      </c>
      <c r="D119" s="6">
        <f>IF(B119="","",INT((A119-1)/500)+1)</f>
        <v/>
      </c>
    </row>
    <row r="120">
      <c r="A120" s="6" t="n">
        <v>115</v>
      </c>
      <c r="B120" s="6" t="n"/>
      <c r="C120" s="6">
        <f>IF(B120="","",CHOOSE(MOD(A120-1,3)+1,"Lucia-Diego","Marta-Sara","Jose"))</f>
        <v/>
      </c>
      <c r="D120" s="6">
        <f>IF(B120="","",INT((A120-1)/500)+1)</f>
        <v/>
      </c>
    </row>
    <row r="121">
      <c r="A121" s="6" t="n">
        <v>116</v>
      </c>
      <c r="B121" s="6" t="n"/>
      <c r="C121" s="6">
        <f>IF(B121="","",CHOOSE(MOD(A121-1,3)+1,"Lucia-Diego","Marta-Sara","Jose"))</f>
        <v/>
      </c>
      <c r="D121" s="6">
        <f>IF(B121="","",INT((A121-1)/500)+1)</f>
        <v/>
      </c>
    </row>
    <row r="122">
      <c r="A122" s="6" t="n">
        <v>117</v>
      </c>
      <c r="B122" s="6" t="n"/>
      <c r="C122" s="6">
        <f>IF(B122="","",CHOOSE(MOD(A122-1,3)+1,"Lucia-Diego","Marta-Sara","Jose"))</f>
        <v/>
      </c>
      <c r="D122" s="6">
        <f>IF(B122="","",INT((A122-1)/500)+1)</f>
        <v/>
      </c>
    </row>
    <row r="123">
      <c r="A123" s="6" t="n">
        <v>118</v>
      </c>
      <c r="B123" s="6" t="n"/>
      <c r="C123" s="6">
        <f>IF(B123="","",CHOOSE(MOD(A123-1,3)+1,"Lucia-Diego","Marta-Sara","Jose"))</f>
        <v/>
      </c>
      <c r="D123" s="6">
        <f>IF(B123="","",INT((A123-1)/500)+1)</f>
        <v/>
      </c>
    </row>
    <row r="124">
      <c r="A124" s="6" t="n">
        <v>119</v>
      </c>
      <c r="B124" s="6" t="n"/>
      <c r="C124" s="6">
        <f>IF(B124="","",CHOOSE(MOD(A124-1,3)+1,"Lucia-Diego","Marta-Sara","Jose"))</f>
        <v/>
      </c>
      <c r="D124" s="6">
        <f>IF(B124="","",INT((A124-1)/500)+1)</f>
        <v/>
      </c>
    </row>
    <row r="125">
      <c r="A125" s="6" t="n">
        <v>120</v>
      </c>
      <c r="B125" s="6" t="n"/>
      <c r="C125" s="6">
        <f>IF(B125="","",CHOOSE(MOD(A125-1,3)+1,"Lucia-Diego","Marta-Sara","Jose"))</f>
        <v/>
      </c>
      <c r="D125" s="6">
        <f>IF(B125="","",INT((A125-1)/500)+1)</f>
        <v/>
      </c>
    </row>
    <row r="126">
      <c r="A126" s="6" t="n">
        <v>121</v>
      </c>
      <c r="B126" s="6" t="n"/>
      <c r="C126" s="6">
        <f>IF(B126="","",CHOOSE(MOD(A126-1,3)+1,"Lucia-Diego","Marta-Sara","Jose"))</f>
        <v/>
      </c>
      <c r="D126" s="6">
        <f>IF(B126="","",INT((A126-1)/500)+1)</f>
        <v/>
      </c>
    </row>
    <row r="127">
      <c r="A127" s="6" t="n">
        <v>122</v>
      </c>
      <c r="B127" s="6" t="n"/>
      <c r="C127" s="6">
        <f>IF(B127="","",CHOOSE(MOD(A127-1,3)+1,"Lucia-Diego","Marta-Sara","Jose"))</f>
        <v/>
      </c>
      <c r="D127" s="6">
        <f>IF(B127="","",INT((A127-1)/500)+1)</f>
        <v/>
      </c>
    </row>
    <row r="128">
      <c r="A128" s="6" t="n">
        <v>123</v>
      </c>
      <c r="B128" s="6" t="n"/>
      <c r="C128" s="6">
        <f>IF(B128="","",CHOOSE(MOD(A128-1,3)+1,"Lucia-Diego","Marta-Sara","Jose"))</f>
        <v/>
      </c>
      <c r="D128" s="6">
        <f>IF(B128="","",INT((A128-1)/500)+1)</f>
        <v/>
      </c>
    </row>
    <row r="129">
      <c r="A129" s="6" t="n">
        <v>124</v>
      </c>
      <c r="B129" s="6" t="n"/>
      <c r="C129" s="6">
        <f>IF(B129="","",CHOOSE(MOD(A129-1,3)+1,"Lucia-Diego","Marta-Sara","Jose"))</f>
        <v/>
      </c>
      <c r="D129" s="6">
        <f>IF(B129="","",INT((A129-1)/500)+1)</f>
        <v/>
      </c>
    </row>
    <row r="130">
      <c r="A130" s="6" t="n">
        <v>125</v>
      </c>
      <c r="B130" s="6" t="n"/>
      <c r="C130" s="6">
        <f>IF(B130="","",CHOOSE(MOD(A130-1,3)+1,"Lucia-Diego","Marta-Sara","Jose"))</f>
        <v/>
      </c>
      <c r="D130" s="6">
        <f>IF(B130="","",INT((A130-1)/500)+1)</f>
        <v/>
      </c>
    </row>
    <row r="131">
      <c r="A131" s="6" t="n">
        <v>126</v>
      </c>
      <c r="B131" s="6" t="n"/>
      <c r="C131" s="6">
        <f>IF(B131="","",CHOOSE(MOD(A131-1,3)+1,"Lucia-Diego","Marta-Sara","Jose"))</f>
        <v/>
      </c>
      <c r="D131" s="6">
        <f>IF(B131="","",INT((A131-1)/500)+1)</f>
        <v/>
      </c>
    </row>
    <row r="132">
      <c r="A132" s="6" t="n">
        <v>127</v>
      </c>
      <c r="B132" s="6" t="n"/>
      <c r="C132" s="6">
        <f>IF(B132="","",CHOOSE(MOD(A132-1,3)+1,"Lucia-Diego","Marta-Sara","Jose"))</f>
        <v/>
      </c>
      <c r="D132" s="6">
        <f>IF(B132="","",INT((A132-1)/500)+1)</f>
        <v/>
      </c>
    </row>
    <row r="133">
      <c r="A133" s="6" t="n">
        <v>128</v>
      </c>
      <c r="B133" s="6" t="n"/>
      <c r="C133" s="6">
        <f>IF(B133="","",CHOOSE(MOD(A133-1,3)+1,"Lucia-Diego","Marta-Sara","Jose"))</f>
        <v/>
      </c>
      <c r="D133" s="6">
        <f>IF(B133="","",INT((A133-1)/500)+1)</f>
        <v/>
      </c>
    </row>
    <row r="134">
      <c r="A134" s="6" t="n">
        <v>129</v>
      </c>
      <c r="B134" s="6" t="n"/>
      <c r="C134" s="6">
        <f>IF(B134="","",CHOOSE(MOD(A134-1,3)+1,"Lucia-Diego","Marta-Sara","Jose"))</f>
        <v/>
      </c>
      <c r="D134" s="6">
        <f>IF(B134="","",INT((A134-1)/500)+1)</f>
        <v/>
      </c>
    </row>
    <row r="135">
      <c r="A135" s="6" t="n">
        <v>130</v>
      </c>
      <c r="B135" s="6" t="n"/>
      <c r="C135" s="6">
        <f>IF(B135="","",CHOOSE(MOD(A135-1,3)+1,"Lucia-Diego","Marta-Sara","Jose"))</f>
        <v/>
      </c>
      <c r="D135" s="6">
        <f>IF(B135="","",INT((A135-1)/500)+1)</f>
        <v/>
      </c>
    </row>
    <row r="136">
      <c r="A136" s="6" t="n">
        <v>131</v>
      </c>
      <c r="B136" s="6" t="n"/>
      <c r="C136" s="6">
        <f>IF(B136="","",CHOOSE(MOD(A136-1,3)+1,"Lucia-Diego","Marta-Sara","Jose"))</f>
        <v/>
      </c>
      <c r="D136" s="6">
        <f>IF(B136="","",INT((A136-1)/500)+1)</f>
        <v/>
      </c>
    </row>
    <row r="137">
      <c r="A137" s="6" t="n">
        <v>132</v>
      </c>
      <c r="B137" s="6" t="n"/>
      <c r="C137" s="6">
        <f>IF(B137="","",CHOOSE(MOD(A137-1,3)+1,"Lucia-Diego","Marta-Sara","Jose"))</f>
        <v/>
      </c>
      <c r="D137" s="6">
        <f>IF(B137="","",INT((A137-1)/500)+1)</f>
        <v/>
      </c>
    </row>
    <row r="138">
      <c r="A138" s="6" t="n">
        <v>133</v>
      </c>
      <c r="B138" s="6" t="n"/>
      <c r="C138" s="6">
        <f>IF(B138="","",CHOOSE(MOD(A138-1,3)+1,"Lucia-Diego","Marta-Sara","Jose"))</f>
        <v/>
      </c>
      <c r="D138" s="6">
        <f>IF(B138="","",INT((A138-1)/500)+1)</f>
        <v/>
      </c>
    </row>
    <row r="139">
      <c r="A139" s="6" t="n">
        <v>134</v>
      </c>
      <c r="B139" s="6" t="n"/>
      <c r="C139" s="6">
        <f>IF(B139="","",CHOOSE(MOD(A139-1,3)+1,"Lucia-Diego","Marta-Sara","Jose"))</f>
        <v/>
      </c>
      <c r="D139" s="6">
        <f>IF(B139="","",INT((A139-1)/500)+1)</f>
        <v/>
      </c>
    </row>
    <row r="140">
      <c r="A140" s="6" t="n">
        <v>135</v>
      </c>
      <c r="B140" s="6" t="n"/>
      <c r="C140" s="6">
        <f>IF(B140="","",CHOOSE(MOD(A140-1,3)+1,"Lucia-Diego","Marta-Sara","Jose"))</f>
        <v/>
      </c>
      <c r="D140" s="6">
        <f>IF(B140="","",INT((A140-1)/500)+1)</f>
        <v/>
      </c>
    </row>
    <row r="141">
      <c r="A141" s="6" t="n">
        <v>136</v>
      </c>
      <c r="B141" s="6" t="n"/>
      <c r="C141" s="6">
        <f>IF(B141="","",CHOOSE(MOD(A141-1,3)+1,"Lucia-Diego","Marta-Sara","Jose"))</f>
        <v/>
      </c>
      <c r="D141" s="6">
        <f>IF(B141="","",INT((A141-1)/500)+1)</f>
        <v/>
      </c>
    </row>
    <row r="142">
      <c r="A142" s="6" t="n">
        <v>137</v>
      </c>
      <c r="B142" s="6" t="n"/>
      <c r="C142" s="6">
        <f>IF(B142="","",CHOOSE(MOD(A142-1,3)+1,"Lucia-Diego","Marta-Sara","Jose"))</f>
        <v/>
      </c>
      <c r="D142" s="6">
        <f>IF(B142="","",INT((A142-1)/500)+1)</f>
        <v/>
      </c>
    </row>
    <row r="143">
      <c r="A143" s="6" t="n">
        <v>138</v>
      </c>
      <c r="B143" s="6" t="n"/>
      <c r="C143" s="6">
        <f>IF(B143="","",CHOOSE(MOD(A143-1,3)+1,"Lucia-Diego","Marta-Sara","Jose"))</f>
        <v/>
      </c>
      <c r="D143" s="6">
        <f>IF(B143="","",INT((A143-1)/500)+1)</f>
        <v/>
      </c>
    </row>
    <row r="144">
      <c r="A144" s="6" t="n">
        <v>139</v>
      </c>
      <c r="B144" s="6" t="n"/>
      <c r="C144" s="6">
        <f>IF(B144="","",CHOOSE(MOD(A144-1,3)+1,"Lucia-Diego","Marta-Sara","Jose"))</f>
        <v/>
      </c>
      <c r="D144" s="6">
        <f>IF(B144="","",INT((A144-1)/500)+1)</f>
        <v/>
      </c>
    </row>
    <row r="145">
      <c r="A145" s="6" t="n">
        <v>140</v>
      </c>
      <c r="B145" s="6" t="n"/>
      <c r="C145" s="6">
        <f>IF(B145="","",CHOOSE(MOD(A145-1,3)+1,"Lucia-Diego","Marta-Sara","Jose"))</f>
        <v/>
      </c>
      <c r="D145" s="6">
        <f>IF(B145="","",INT((A145-1)/500)+1)</f>
        <v/>
      </c>
    </row>
    <row r="146">
      <c r="A146" s="6" t="n">
        <v>141</v>
      </c>
      <c r="B146" s="6" t="n"/>
      <c r="C146" s="6">
        <f>IF(B146="","",CHOOSE(MOD(A146-1,3)+1,"Lucia-Diego","Marta-Sara","Jose"))</f>
        <v/>
      </c>
      <c r="D146" s="6">
        <f>IF(B146="","",INT((A146-1)/500)+1)</f>
        <v/>
      </c>
    </row>
    <row r="147">
      <c r="A147" s="6" t="n">
        <v>142</v>
      </c>
      <c r="B147" s="6" t="n"/>
      <c r="C147" s="6">
        <f>IF(B147="","",CHOOSE(MOD(A147-1,3)+1,"Lucia-Diego","Marta-Sara","Jose"))</f>
        <v/>
      </c>
      <c r="D147" s="6">
        <f>IF(B147="","",INT((A147-1)/500)+1)</f>
        <v/>
      </c>
    </row>
    <row r="148">
      <c r="A148" s="6" t="n">
        <v>143</v>
      </c>
      <c r="B148" s="6" t="n"/>
      <c r="C148" s="6">
        <f>IF(B148="","",CHOOSE(MOD(A148-1,3)+1,"Lucia-Diego","Marta-Sara","Jose"))</f>
        <v/>
      </c>
      <c r="D148" s="6">
        <f>IF(B148="","",INT((A148-1)/500)+1)</f>
        <v/>
      </c>
    </row>
    <row r="149">
      <c r="A149" s="6" t="n">
        <v>144</v>
      </c>
      <c r="B149" s="6" t="n"/>
      <c r="C149" s="6">
        <f>IF(B149="","",CHOOSE(MOD(A149-1,3)+1,"Lucia-Diego","Marta-Sara","Jose"))</f>
        <v/>
      </c>
      <c r="D149" s="6">
        <f>IF(B149="","",INT((A149-1)/500)+1)</f>
        <v/>
      </c>
    </row>
    <row r="150">
      <c r="A150" s="6" t="n">
        <v>145</v>
      </c>
      <c r="B150" s="6" t="n"/>
      <c r="C150" s="6">
        <f>IF(B150="","",CHOOSE(MOD(A150-1,3)+1,"Lucia-Diego","Marta-Sara","Jose"))</f>
        <v/>
      </c>
      <c r="D150" s="6">
        <f>IF(B150="","",INT((A150-1)/500)+1)</f>
        <v/>
      </c>
    </row>
    <row r="151">
      <c r="A151" s="6" t="n">
        <v>146</v>
      </c>
      <c r="B151" s="6" t="n"/>
      <c r="C151" s="6">
        <f>IF(B151="","",CHOOSE(MOD(A151-1,3)+1,"Lucia-Diego","Marta-Sara","Jose"))</f>
        <v/>
      </c>
      <c r="D151" s="6">
        <f>IF(B151="","",INT((A151-1)/500)+1)</f>
        <v/>
      </c>
    </row>
    <row r="152">
      <c r="A152" s="6" t="n">
        <v>147</v>
      </c>
      <c r="B152" s="6" t="n"/>
      <c r="C152" s="6">
        <f>IF(B152="","",CHOOSE(MOD(A152-1,3)+1,"Lucia-Diego","Marta-Sara","Jose"))</f>
        <v/>
      </c>
      <c r="D152" s="6">
        <f>IF(B152="","",INT((A152-1)/500)+1)</f>
        <v/>
      </c>
    </row>
    <row r="153">
      <c r="A153" s="6" t="n">
        <v>148</v>
      </c>
      <c r="B153" s="6" t="n"/>
      <c r="C153" s="6">
        <f>IF(B153="","",CHOOSE(MOD(A153-1,3)+1,"Lucia-Diego","Marta-Sara","Jose"))</f>
        <v/>
      </c>
      <c r="D153" s="6">
        <f>IF(B153="","",INT((A153-1)/500)+1)</f>
        <v/>
      </c>
    </row>
    <row r="154">
      <c r="A154" s="6" t="n">
        <v>149</v>
      </c>
      <c r="B154" s="6" t="n"/>
      <c r="C154" s="6">
        <f>IF(B154="","",CHOOSE(MOD(A154-1,3)+1,"Lucia-Diego","Marta-Sara","Jose"))</f>
        <v/>
      </c>
      <c r="D154" s="6">
        <f>IF(B154="","",INT((A154-1)/500)+1)</f>
        <v/>
      </c>
    </row>
    <row r="155">
      <c r="A155" s="6" t="n">
        <v>150</v>
      </c>
      <c r="B155" s="6" t="n"/>
      <c r="C155" s="6">
        <f>IF(B155="","",CHOOSE(MOD(A155-1,3)+1,"Lucia-Diego","Marta-Sara","Jose"))</f>
        <v/>
      </c>
      <c r="D155" s="6">
        <f>IF(B155="","",INT((A155-1)/500)+1)</f>
        <v/>
      </c>
    </row>
    <row r="156">
      <c r="A156" s="6" t="n">
        <v>151</v>
      </c>
      <c r="B156" s="6" t="n"/>
      <c r="C156" s="6">
        <f>IF(B156="","",CHOOSE(MOD(A156-1,3)+1,"Lucia-Diego","Marta-Sara","Jose"))</f>
        <v/>
      </c>
      <c r="D156" s="6">
        <f>IF(B156="","",INT((A156-1)/500)+1)</f>
        <v/>
      </c>
    </row>
    <row r="157">
      <c r="A157" s="6" t="n">
        <v>152</v>
      </c>
      <c r="B157" s="6" t="n"/>
      <c r="C157" s="6">
        <f>IF(B157="","",CHOOSE(MOD(A157-1,3)+1,"Lucia-Diego","Marta-Sara","Jose"))</f>
        <v/>
      </c>
      <c r="D157" s="6">
        <f>IF(B157="","",INT((A157-1)/500)+1)</f>
        <v/>
      </c>
    </row>
    <row r="158">
      <c r="A158" s="6" t="n">
        <v>153</v>
      </c>
      <c r="B158" s="6" t="n"/>
      <c r="C158" s="6">
        <f>IF(B158="","",CHOOSE(MOD(A158-1,3)+1,"Lucia-Diego","Marta-Sara","Jose"))</f>
        <v/>
      </c>
      <c r="D158" s="6">
        <f>IF(B158="","",INT((A158-1)/500)+1)</f>
        <v/>
      </c>
    </row>
    <row r="159">
      <c r="A159" s="6" t="n">
        <v>154</v>
      </c>
      <c r="B159" s="6" t="n"/>
      <c r="C159" s="6">
        <f>IF(B159="","",CHOOSE(MOD(A159-1,3)+1,"Lucia-Diego","Marta-Sara","Jose"))</f>
        <v/>
      </c>
      <c r="D159" s="6">
        <f>IF(B159="","",INT((A159-1)/500)+1)</f>
        <v/>
      </c>
    </row>
    <row r="160">
      <c r="A160" s="6" t="n">
        <v>155</v>
      </c>
      <c r="B160" s="6" t="n"/>
      <c r="C160" s="6">
        <f>IF(B160="","",CHOOSE(MOD(A160-1,3)+1,"Lucia-Diego","Marta-Sara","Jose"))</f>
        <v/>
      </c>
      <c r="D160" s="6">
        <f>IF(B160="","",INT((A160-1)/500)+1)</f>
        <v/>
      </c>
    </row>
    <row r="161">
      <c r="A161" s="6" t="n">
        <v>156</v>
      </c>
      <c r="B161" s="6" t="n"/>
      <c r="C161" s="6">
        <f>IF(B161="","",CHOOSE(MOD(A161-1,3)+1,"Lucia-Diego","Marta-Sara","Jose"))</f>
        <v/>
      </c>
      <c r="D161" s="6">
        <f>IF(B161="","",INT((A161-1)/500)+1)</f>
        <v/>
      </c>
    </row>
    <row r="162">
      <c r="A162" s="6" t="n">
        <v>157</v>
      </c>
      <c r="B162" s="6" t="n"/>
      <c r="C162" s="6">
        <f>IF(B162="","",CHOOSE(MOD(A162-1,3)+1,"Lucia-Diego","Marta-Sara","Jose"))</f>
        <v/>
      </c>
      <c r="D162" s="6">
        <f>IF(B162="","",INT((A162-1)/500)+1)</f>
        <v/>
      </c>
    </row>
    <row r="163">
      <c r="A163" s="6" t="n">
        <v>158</v>
      </c>
      <c r="B163" s="6" t="n"/>
      <c r="C163" s="6">
        <f>IF(B163="","",CHOOSE(MOD(A163-1,3)+1,"Lucia-Diego","Marta-Sara","Jose"))</f>
        <v/>
      </c>
      <c r="D163" s="6">
        <f>IF(B163="","",INT((A163-1)/500)+1)</f>
        <v/>
      </c>
    </row>
    <row r="164">
      <c r="A164" s="6" t="n">
        <v>159</v>
      </c>
      <c r="B164" s="6" t="n"/>
      <c r="C164" s="6">
        <f>IF(B164="","",CHOOSE(MOD(A164-1,3)+1,"Lucia-Diego","Marta-Sara","Jose"))</f>
        <v/>
      </c>
      <c r="D164" s="6">
        <f>IF(B164="","",INT((A164-1)/500)+1)</f>
        <v/>
      </c>
    </row>
    <row r="165">
      <c r="A165" s="6" t="n">
        <v>160</v>
      </c>
      <c r="B165" s="6" t="n"/>
      <c r="C165" s="6">
        <f>IF(B165="","",CHOOSE(MOD(A165-1,3)+1,"Lucia-Diego","Marta-Sara","Jose"))</f>
        <v/>
      </c>
      <c r="D165" s="6">
        <f>IF(B165="","",INT((A165-1)/500)+1)</f>
        <v/>
      </c>
    </row>
    <row r="166">
      <c r="A166" s="6" t="n">
        <v>161</v>
      </c>
      <c r="B166" s="6" t="n"/>
      <c r="C166" s="6">
        <f>IF(B166="","",CHOOSE(MOD(A166-1,3)+1,"Lucia-Diego","Marta-Sara","Jose"))</f>
        <v/>
      </c>
      <c r="D166" s="6">
        <f>IF(B166="","",INT((A166-1)/500)+1)</f>
        <v/>
      </c>
    </row>
    <row r="167">
      <c r="A167" s="6" t="n">
        <v>162</v>
      </c>
      <c r="B167" s="6" t="n"/>
      <c r="C167" s="6">
        <f>IF(B167="","",CHOOSE(MOD(A167-1,3)+1,"Lucia-Diego","Marta-Sara","Jose"))</f>
        <v/>
      </c>
      <c r="D167" s="6">
        <f>IF(B167="","",INT((A167-1)/500)+1)</f>
        <v/>
      </c>
    </row>
    <row r="168">
      <c r="A168" s="6" t="n">
        <v>163</v>
      </c>
      <c r="B168" s="6" t="n"/>
      <c r="C168" s="6">
        <f>IF(B168="","",CHOOSE(MOD(A168-1,3)+1,"Lucia-Diego","Marta-Sara","Jose"))</f>
        <v/>
      </c>
      <c r="D168" s="6">
        <f>IF(B168="","",INT((A168-1)/500)+1)</f>
        <v/>
      </c>
    </row>
    <row r="169">
      <c r="A169" s="6" t="n">
        <v>164</v>
      </c>
      <c r="B169" s="6" t="n"/>
      <c r="C169" s="6">
        <f>IF(B169="","",CHOOSE(MOD(A169-1,3)+1,"Lucia-Diego","Marta-Sara","Jose"))</f>
        <v/>
      </c>
      <c r="D169" s="6">
        <f>IF(B169="","",INT((A169-1)/500)+1)</f>
        <v/>
      </c>
    </row>
    <row r="170">
      <c r="A170" s="6" t="n">
        <v>165</v>
      </c>
      <c r="B170" s="6" t="n"/>
      <c r="C170" s="6">
        <f>IF(B170="","",CHOOSE(MOD(A170-1,3)+1,"Lucia-Diego","Marta-Sara","Jose"))</f>
        <v/>
      </c>
      <c r="D170" s="6">
        <f>IF(B170="","",INT((A170-1)/500)+1)</f>
        <v/>
      </c>
    </row>
    <row r="171">
      <c r="A171" s="6" t="n">
        <v>166</v>
      </c>
      <c r="B171" s="6" t="n"/>
      <c r="C171" s="6">
        <f>IF(B171="","",CHOOSE(MOD(A171-1,3)+1,"Lucia-Diego","Marta-Sara","Jose"))</f>
        <v/>
      </c>
      <c r="D171" s="6">
        <f>IF(B171="","",INT((A171-1)/500)+1)</f>
        <v/>
      </c>
    </row>
    <row r="172">
      <c r="A172" s="6" t="n">
        <v>167</v>
      </c>
      <c r="B172" s="6" t="n"/>
      <c r="C172" s="6">
        <f>IF(B172="","",CHOOSE(MOD(A172-1,3)+1,"Lucia-Diego","Marta-Sara","Jose"))</f>
        <v/>
      </c>
      <c r="D172" s="6">
        <f>IF(B172="","",INT((A172-1)/500)+1)</f>
        <v/>
      </c>
    </row>
    <row r="173">
      <c r="A173" s="6" t="n">
        <v>168</v>
      </c>
      <c r="B173" s="6" t="n"/>
      <c r="C173" s="6">
        <f>IF(B173="","",CHOOSE(MOD(A173-1,3)+1,"Lucia-Diego","Marta-Sara","Jose"))</f>
        <v/>
      </c>
      <c r="D173" s="6">
        <f>IF(B173="","",INT((A173-1)/500)+1)</f>
        <v/>
      </c>
    </row>
    <row r="174">
      <c r="A174" s="6" t="n">
        <v>169</v>
      </c>
      <c r="B174" s="6" t="n"/>
      <c r="C174" s="6">
        <f>IF(B174="","",CHOOSE(MOD(A174-1,3)+1,"Lucia-Diego","Marta-Sara","Jose"))</f>
        <v/>
      </c>
      <c r="D174" s="6">
        <f>IF(B174="","",INT((A174-1)/500)+1)</f>
        <v/>
      </c>
    </row>
    <row r="175">
      <c r="A175" s="6" t="n">
        <v>170</v>
      </c>
      <c r="B175" s="6" t="n"/>
      <c r="C175" s="6">
        <f>IF(B175="","",CHOOSE(MOD(A175-1,3)+1,"Lucia-Diego","Marta-Sara","Jose"))</f>
        <v/>
      </c>
      <c r="D175" s="6">
        <f>IF(B175="","",INT((A175-1)/500)+1)</f>
        <v/>
      </c>
    </row>
    <row r="176">
      <c r="A176" s="6" t="n">
        <v>171</v>
      </c>
      <c r="B176" s="6" t="n"/>
      <c r="C176" s="6">
        <f>IF(B176="","",CHOOSE(MOD(A176-1,3)+1,"Lucia-Diego","Marta-Sara","Jose"))</f>
        <v/>
      </c>
      <c r="D176" s="6">
        <f>IF(B176="","",INT((A176-1)/500)+1)</f>
        <v/>
      </c>
    </row>
    <row r="177">
      <c r="A177" s="6" t="n">
        <v>172</v>
      </c>
      <c r="B177" s="6" t="n"/>
      <c r="C177" s="6">
        <f>IF(B177="","",CHOOSE(MOD(A177-1,3)+1,"Lucia-Diego","Marta-Sara","Jose"))</f>
        <v/>
      </c>
      <c r="D177" s="6">
        <f>IF(B177="","",INT((A177-1)/500)+1)</f>
        <v/>
      </c>
    </row>
    <row r="178">
      <c r="A178" s="6" t="n">
        <v>173</v>
      </c>
      <c r="B178" s="6" t="n"/>
      <c r="C178" s="6">
        <f>IF(B178="","",CHOOSE(MOD(A178-1,3)+1,"Lucia-Diego","Marta-Sara","Jose"))</f>
        <v/>
      </c>
      <c r="D178" s="6">
        <f>IF(B178="","",INT((A178-1)/500)+1)</f>
        <v/>
      </c>
    </row>
    <row r="179">
      <c r="A179" s="6" t="n">
        <v>174</v>
      </c>
      <c r="B179" s="6" t="n"/>
      <c r="C179" s="6">
        <f>IF(B179="","",CHOOSE(MOD(A179-1,3)+1,"Lucia-Diego","Marta-Sara","Jose"))</f>
        <v/>
      </c>
      <c r="D179" s="6">
        <f>IF(B179="","",INT((A179-1)/500)+1)</f>
        <v/>
      </c>
    </row>
    <row r="180">
      <c r="A180" s="6" t="n">
        <v>175</v>
      </c>
      <c r="B180" s="6" t="n"/>
      <c r="C180" s="6">
        <f>IF(B180="","",CHOOSE(MOD(A180-1,3)+1,"Lucia-Diego","Marta-Sara","Jose"))</f>
        <v/>
      </c>
      <c r="D180" s="6">
        <f>IF(B180="","",INT((A180-1)/500)+1)</f>
        <v/>
      </c>
    </row>
    <row r="181">
      <c r="A181" s="6" t="n">
        <v>176</v>
      </c>
      <c r="B181" s="6" t="n"/>
      <c r="C181" s="6">
        <f>IF(B181="","",CHOOSE(MOD(A181-1,3)+1,"Lucia-Diego","Marta-Sara","Jose"))</f>
        <v/>
      </c>
      <c r="D181" s="6">
        <f>IF(B181="","",INT((A181-1)/500)+1)</f>
        <v/>
      </c>
    </row>
    <row r="182">
      <c r="A182" s="6" t="n">
        <v>177</v>
      </c>
      <c r="B182" s="6" t="n"/>
      <c r="C182" s="6">
        <f>IF(B182="","",CHOOSE(MOD(A182-1,3)+1,"Lucia-Diego","Marta-Sara","Jose"))</f>
        <v/>
      </c>
      <c r="D182" s="6">
        <f>IF(B182="","",INT((A182-1)/500)+1)</f>
        <v/>
      </c>
    </row>
    <row r="183">
      <c r="A183" s="6" t="n">
        <v>178</v>
      </c>
      <c r="B183" s="6" t="n"/>
      <c r="C183" s="6">
        <f>IF(B183="","",CHOOSE(MOD(A183-1,3)+1,"Lucia-Diego","Marta-Sara","Jose"))</f>
        <v/>
      </c>
      <c r="D183" s="6">
        <f>IF(B183="","",INT((A183-1)/500)+1)</f>
        <v/>
      </c>
    </row>
    <row r="184">
      <c r="A184" s="6" t="n">
        <v>179</v>
      </c>
      <c r="B184" s="6" t="n"/>
      <c r="C184" s="6">
        <f>IF(B184="","",CHOOSE(MOD(A184-1,3)+1,"Lucia-Diego","Marta-Sara","Jose"))</f>
        <v/>
      </c>
      <c r="D184" s="6">
        <f>IF(B184="","",INT((A184-1)/500)+1)</f>
        <v/>
      </c>
    </row>
    <row r="185">
      <c r="A185" s="6" t="n">
        <v>180</v>
      </c>
      <c r="B185" s="6" t="n"/>
      <c r="C185" s="6">
        <f>IF(B185="","",CHOOSE(MOD(A185-1,3)+1,"Lucia-Diego","Marta-Sara","Jose"))</f>
        <v/>
      </c>
      <c r="D185" s="6">
        <f>IF(B185="","",INT((A185-1)/500)+1)</f>
        <v/>
      </c>
    </row>
    <row r="186">
      <c r="A186" s="6" t="n">
        <v>181</v>
      </c>
      <c r="B186" s="6" t="n"/>
      <c r="C186" s="6">
        <f>IF(B186="","",CHOOSE(MOD(A186-1,3)+1,"Lucia-Diego","Marta-Sara","Jose"))</f>
        <v/>
      </c>
      <c r="D186" s="6">
        <f>IF(B186="","",INT((A186-1)/500)+1)</f>
        <v/>
      </c>
    </row>
    <row r="187">
      <c r="A187" s="6" t="n">
        <v>182</v>
      </c>
      <c r="B187" s="6" t="n"/>
      <c r="C187" s="6">
        <f>IF(B187="","",CHOOSE(MOD(A187-1,3)+1,"Lucia-Diego","Marta-Sara","Jose"))</f>
        <v/>
      </c>
      <c r="D187" s="6">
        <f>IF(B187="","",INT((A187-1)/500)+1)</f>
        <v/>
      </c>
    </row>
    <row r="188">
      <c r="A188" s="6" t="n">
        <v>183</v>
      </c>
      <c r="B188" s="6" t="n"/>
      <c r="C188" s="6">
        <f>IF(B188="","",CHOOSE(MOD(A188-1,3)+1,"Lucia-Diego","Marta-Sara","Jose"))</f>
        <v/>
      </c>
      <c r="D188" s="6">
        <f>IF(B188="","",INT((A188-1)/500)+1)</f>
        <v/>
      </c>
    </row>
    <row r="189">
      <c r="A189" s="6" t="n">
        <v>184</v>
      </c>
      <c r="B189" s="6" t="n"/>
      <c r="C189" s="6">
        <f>IF(B189="","",CHOOSE(MOD(A189-1,3)+1,"Lucia-Diego","Marta-Sara","Jose"))</f>
        <v/>
      </c>
      <c r="D189" s="6">
        <f>IF(B189="","",INT((A189-1)/500)+1)</f>
        <v/>
      </c>
    </row>
    <row r="190">
      <c r="A190" s="6" t="n">
        <v>185</v>
      </c>
      <c r="B190" s="6" t="n"/>
      <c r="C190" s="6">
        <f>IF(B190="","",CHOOSE(MOD(A190-1,3)+1,"Lucia-Diego","Marta-Sara","Jose"))</f>
        <v/>
      </c>
      <c r="D190" s="6">
        <f>IF(B190="","",INT((A190-1)/500)+1)</f>
        <v/>
      </c>
    </row>
    <row r="191">
      <c r="A191" s="6" t="n">
        <v>186</v>
      </c>
      <c r="B191" s="6" t="n"/>
      <c r="C191" s="6">
        <f>IF(B191="","",CHOOSE(MOD(A191-1,3)+1,"Lucia-Diego","Marta-Sara","Jose"))</f>
        <v/>
      </c>
      <c r="D191" s="6">
        <f>IF(B191="","",INT((A191-1)/500)+1)</f>
        <v/>
      </c>
    </row>
    <row r="192">
      <c r="A192" s="6" t="n">
        <v>187</v>
      </c>
      <c r="B192" s="6" t="n"/>
      <c r="C192" s="6">
        <f>IF(B192="","",CHOOSE(MOD(A192-1,3)+1,"Lucia-Diego","Marta-Sara","Jose"))</f>
        <v/>
      </c>
      <c r="D192" s="6">
        <f>IF(B192="","",INT((A192-1)/500)+1)</f>
        <v/>
      </c>
    </row>
    <row r="193">
      <c r="A193" s="6" t="n">
        <v>188</v>
      </c>
      <c r="B193" s="6" t="n"/>
      <c r="C193" s="6">
        <f>IF(B193="","",CHOOSE(MOD(A193-1,3)+1,"Lucia-Diego","Marta-Sara","Jose"))</f>
        <v/>
      </c>
      <c r="D193" s="6">
        <f>IF(B193="","",INT((A193-1)/500)+1)</f>
        <v/>
      </c>
    </row>
    <row r="194">
      <c r="A194" s="6" t="n">
        <v>189</v>
      </c>
      <c r="B194" s="6" t="n"/>
      <c r="C194" s="6">
        <f>IF(B194="","",CHOOSE(MOD(A194-1,3)+1,"Lucia-Diego","Marta-Sara","Jose"))</f>
        <v/>
      </c>
      <c r="D194" s="6">
        <f>IF(B194="","",INT((A194-1)/500)+1)</f>
        <v/>
      </c>
    </row>
    <row r="195">
      <c r="A195" s="6" t="n">
        <v>190</v>
      </c>
      <c r="B195" s="6" t="n"/>
      <c r="C195" s="6">
        <f>IF(B195="","",CHOOSE(MOD(A195-1,3)+1,"Lucia-Diego","Marta-Sara","Jose"))</f>
        <v/>
      </c>
      <c r="D195" s="6">
        <f>IF(B195="","",INT((A195-1)/500)+1)</f>
        <v/>
      </c>
    </row>
    <row r="196">
      <c r="A196" s="6" t="n">
        <v>191</v>
      </c>
      <c r="B196" s="6" t="n"/>
      <c r="C196" s="6">
        <f>IF(B196="","",CHOOSE(MOD(A196-1,3)+1,"Lucia-Diego","Marta-Sara","Jose"))</f>
        <v/>
      </c>
      <c r="D196" s="6">
        <f>IF(B196="","",INT((A196-1)/500)+1)</f>
        <v/>
      </c>
    </row>
    <row r="197">
      <c r="A197" s="6" t="n">
        <v>192</v>
      </c>
      <c r="B197" s="6" t="n"/>
      <c r="C197" s="6">
        <f>IF(B197="","",CHOOSE(MOD(A197-1,3)+1,"Lucia-Diego","Marta-Sara","Jose"))</f>
        <v/>
      </c>
      <c r="D197" s="6">
        <f>IF(B197="","",INT((A197-1)/500)+1)</f>
        <v/>
      </c>
    </row>
    <row r="198">
      <c r="A198" s="6" t="n">
        <v>193</v>
      </c>
      <c r="B198" s="6" t="n"/>
      <c r="C198" s="6">
        <f>IF(B198="","",CHOOSE(MOD(A198-1,3)+1,"Lucia-Diego","Marta-Sara","Jose"))</f>
        <v/>
      </c>
      <c r="D198" s="6">
        <f>IF(B198="","",INT((A198-1)/500)+1)</f>
        <v/>
      </c>
    </row>
    <row r="199">
      <c r="A199" s="6" t="n">
        <v>194</v>
      </c>
      <c r="B199" s="6" t="n"/>
      <c r="C199" s="6">
        <f>IF(B199="","",CHOOSE(MOD(A199-1,3)+1,"Lucia-Diego","Marta-Sara","Jose"))</f>
        <v/>
      </c>
      <c r="D199" s="6">
        <f>IF(B199="","",INT((A199-1)/500)+1)</f>
        <v/>
      </c>
    </row>
    <row r="200">
      <c r="A200" s="6" t="n">
        <v>195</v>
      </c>
      <c r="B200" s="6" t="n"/>
      <c r="C200" s="6">
        <f>IF(B200="","",CHOOSE(MOD(A200-1,3)+1,"Lucia-Diego","Marta-Sara","Jose"))</f>
        <v/>
      </c>
      <c r="D200" s="6">
        <f>IF(B200="","",INT((A200-1)/500)+1)</f>
        <v/>
      </c>
    </row>
    <row r="201">
      <c r="A201" s="6" t="n">
        <v>196</v>
      </c>
      <c r="B201" s="6" t="n"/>
      <c r="C201" s="6">
        <f>IF(B201="","",CHOOSE(MOD(A201-1,3)+1,"Lucia-Diego","Marta-Sara","Jose"))</f>
        <v/>
      </c>
      <c r="D201" s="6">
        <f>IF(B201="","",INT((A201-1)/500)+1)</f>
        <v/>
      </c>
    </row>
    <row r="202">
      <c r="A202" s="6" t="n">
        <v>197</v>
      </c>
      <c r="B202" s="6" t="n"/>
      <c r="C202" s="6">
        <f>IF(B202="","",CHOOSE(MOD(A202-1,3)+1,"Lucia-Diego","Marta-Sara","Jose"))</f>
        <v/>
      </c>
      <c r="D202" s="6">
        <f>IF(B202="","",INT((A202-1)/500)+1)</f>
        <v/>
      </c>
    </row>
    <row r="203">
      <c r="A203" s="6" t="n">
        <v>198</v>
      </c>
      <c r="B203" s="6" t="n"/>
      <c r="C203" s="6">
        <f>IF(B203="","",CHOOSE(MOD(A203-1,3)+1,"Lucia-Diego","Marta-Sara","Jose"))</f>
        <v/>
      </c>
      <c r="D203" s="6">
        <f>IF(B203="","",INT((A203-1)/500)+1)</f>
        <v/>
      </c>
    </row>
    <row r="204">
      <c r="A204" s="6" t="n">
        <v>199</v>
      </c>
      <c r="B204" s="6" t="n"/>
      <c r="C204" s="6">
        <f>IF(B204="","",CHOOSE(MOD(A204-1,3)+1,"Lucia-Diego","Marta-Sara","Jose"))</f>
        <v/>
      </c>
      <c r="D204" s="6">
        <f>IF(B204="","",INT((A204-1)/500)+1)</f>
        <v/>
      </c>
    </row>
    <row r="205">
      <c r="A205" s="6" t="n">
        <v>200</v>
      </c>
      <c r="B205" s="6" t="n"/>
      <c r="C205" s="6">
        <f>IF(B205="","",CHOOSE(MOD(A205-1,3)+1,"Lucia-Diego","Marta-Sara","Jose"))</f>
        <v/>
      </c>
      <c r="D205" s="6">
        <f>IF(B205="","",INT((A205-1)/500)+1)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2026-05-28T19:15:36Z</dcterms:created>
  <dcterms:modified xsi:type="dcterms:W3CDTF">2026-05-28T19:15:36Z</dcterms:modified>
</cp:coreProperties>
</file>